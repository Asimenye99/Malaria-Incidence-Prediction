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1/Downloads/Malaria-Incidence-Prediction/"/>
    </mc:Choice>
  </mc:AlternateContent>
  <xr:revisionPtr revIDLastSave="0" documentId="13_ncr:1_{0982BAA9-2FA3-3142-B13D-8D0E9B7F3824}" xr6:coauthVersionLast="47" xr6:coauthVersionMax="47" xr10:uidLastSave="{00000000-0000-0000-0000-000000000000}"/>
  <bookViews>
    <workbookView xWindow="0" yWindow="780" windowWidth="34200" windowHeight="21460" activeTab="9" xr2:uid="{00000000-000D-0000-FFFF-FFFF00000000}"/>
  </bookViews>
  <sheets>
    <sheet name="Sheet1" sheetId="1" state="hidden" r:id="rId1"/>
    <sheet name="2015 Mal_Cases" sheetId="2" r:id="rId2"/>
    <sheet name="2016 Mal_Cases" sheetId="3" r:id="rId3"/>
    <sheet name="2017 Mal_Cases" sheetId="4" r:id="rId4"/>
    <sheet name="2018 Mal_Cases" sheetId="5" r:id="rId5"/>
    <sheet name="2019 Mal_Cases" sheetId="6" r:id="rId6"/>
    <sheet name="2020 Mal_Cases" sheetId="9" r:id="rId7"/>
    <sheet name="2021 Mal_Cases" sheetId="10" r:id="rId8"/>
    <sheet name="2022 Mal_Cases" sheetId="11" r:id="rId9"/>
    <sheet name="2023 Mal_Cases" sheetId="12" r:id="rId10"/>
    <sheet name="2024 Mal_Cases" sheetId="13" r:id="rId11"/>
    <sheet name="2025 Mal_Cases" sheetId="14" r:id="rId12"/>
  </sheets>
  <externalReferences>
    <externalReference r:id="rId13"/>
  </externalReferences>
  <definedNames>
    <definedName name="_xlnm._FilterDatabase" localSheetId="5" hidden="1">'2019 Mal_Cases'!$A$1:$C$379</definedName>
    <definedName name="_xlnm._FilterDatabase" localSheetId="9" hidden="1">'2023 Mal_Cases'!$A$1:$C$379</definedName>
    <definedName name="AdminList">[1]list!$J$2:$J$393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9" i="9" l="1"/>
  <c r="C221" i="3" l="1"/>
  <c r="C378" i="3" s="1"/>
  <c r="C379" i="2" l="1"/>
  <c r="C378" i="6" l="1"/>
  <c r="C365" i="6"/>
  <c r="C352" i="6"/>
  <c r="C339" i="6"/>
  <c r="C326" i="6"/>
  <c r="C313" i="6"/>
  <c r="C300" i="6"/>
  <c r="C287" i="6"/>
  <c r="C274" i="6"/>
  <c r="C261" i="6"/>
  <c r="C248" i="6"/>
  <c r="C235" i="6"/>
  <c r="C222" i="6"/>
  <c r="C209" i="6"/>
  <c r="C196" i="6"/>
  <c r="C183" i="6"/>
  <c r="C170" i="6"/>
  <c r="C157" i="6"/>
  <c r="C144" i="6"/>
  <c r="C131" i="6"/>
  <c r="C118" i="6"/>
  <c r="C105" i="6"/>
  <c r="C92" i="6"/>
  <c r="C79" i="6"/>
  <c r="C66" i="6"/>
  <c r="C53" i="6"/>
  <c r="C40" i="6"/>
  <c r="C27" i="6"/>
  <c r="C14" i="6"/>
  <c r="C378" i="5"/>
  <c r="C365" i="5"/>
  <c r="C352" i="5"/>
  <c r="C339" i="5"/>
  <c r="C326" i="5"/>
  <c r="C313" i="5"/>
  <c r="C300" i="5"/>
  <c r="C287" i="5"/>
  <c r="C274" i="5"/>
  <c r="C261" i="5"/>
  <c r="C248" i="5"/>
  <c r="C235" i="5"/>
  <c r="C222" i="5"/>
  <c r="C209" i="5"/>
  <c r="C196" i="5"/>
  <c r="C183" i="5"/>
  <c r="C170" i="5"/>
  <c r="C157" i="5"/>
  <c r="C144" i="5"/>
  <c r="C131" i="5"/>
  <c r="C118" i="5"/>
  <c r="C105" i="5"/>
  <c r="C92" i="5"/>
  <c r="C79" i="5"/>
  <c r="C66" i="5"/>
  <c r="C53" i="5"/>
  <c r="C40" i="5"/>
  <c r="C27" i="5"/>
  <c r="C14" i="5"/>
  <c r="C378" i="4"/>
  <c r="C365" i="4"/>
  <c r="C352" i="4"/>
  <c r="C339" i="4"/>
  <c r="C326" i="4"/>
  <c r="C313" i="4"/>
  <c r="C300" i="4"/>
  <c r="C287" i="4"/>
  <c r="C274" i="4"/>
  <c r="C261" i="4"/>
  <c r="C248" i="4"/>
  <c r="C235" i="4"/>
  <c r="C222" i="4"/>
  <c r="C209" i="4"/>
  <c r="C196" i="4"/>
  <c r="C183" i="4"/>
  <c r="C170" i="4"/>
  <c r="C157" i="4"/>
  <c r="C144" i="4"/>
  <c r="C131" i="4"/>
  <c r="C118" i="4"/>
  <c r="C105" i="4"/>
  <c r="C92" i="4"/>
  <c r="C79" i="4"/>
  <c r="C66" i="4"/>
  <c r="C53" i="4"/>
  <c r="C40" i="4"/>
  <c r="C27" i="4"/>
  <c r="C14" i="4"/>
  <c r="C379" i="4" l="1"/>
  <c r="C379" i="6"/>
  <c r="C379" i="5"/>
  <c r="D31" i="1" l="1"/>
  <c r="B31" i="1"/>
  <c r="E31" i="1"/>
  <c r="F31" i="1"/>
  <c r="C18" i="1" l="1"/>
  <c r="C31" i="1" s="1"/>
</calcChain>
</file>

<file path=xl/sharedStrings.xml><?xml version="1.0" encoding="utf-8"?>
<sst xmlns="http://schemas.openxmlformats.org/spreadsheetml/2006/main" count="4541" uniqueCount="201">
  <si>
    <t>Balaka-DHO</t>
  </si>
  <si>
    <t>Blantyre-DHO</t>
  </si>
  <si>
    <t>Chikwawa-DHO</t>
  </si>
  <si>
    <t>Chiradzulu-DHO</t>
  </si>
  <si>
    <t>Chitipa-DHO</t>
  </si>
  <si>
    <t>Dedza-DHO</t>
  </si>
  <si>
    <t>Dowa-DHO</t>
  </si>
  <si>
    <t>Karonga-DHO</t>
  </si>
  <si>
    <t>Kasungu-DHO</t>
  </si>
  <si>
    <t>Likoma-DHO</t>
  </si>
  <si>
    <t>Lilongwe-DHO</t>
  </si>
  <si>
    <t>Machinga-DHO</t>
  </si>
  <si>
    <t>Mangochi-DHO</t>
  </si>
  <si>
    <t>Mchinji-DHO</t>
  </si>
  <si>
    <t>Mulanje-DHO</t>
  </si>
  <si>
    <t>Mwanza-DHO</t>
  </si>
  <si>
    <t>Mzimba-North-DHO</t>
  </si>
  <si>
    <t>Mzimba-South-DHO</t>
  </si>
  <si>
    <t>Neno-DHO</t>
  </si>
  <si>
    <t>Nkhata-Bay-DHO</t>
  </si>
  <si>
    <t>Nkhotakota-DHO</t>
  </si>
  <si>
    <t>Nsanje-DHO</t>
  </si>
  <si>
    <t>Ntcheu-DHO</t>
  </si>
  <si>
    <t>Ntchisi-DHO</t>
  </si>
  <si>
    <t>Phalombe-DHO</t>
  </si>
  <si>
    <t>Rumphi-DHO</t>
  </si>
  <si>
    <t>Salima-DHO</t>
  </si>
  <si>
    <t>Thyolo-DHO</t>
  </si>
  <si>
    <t>Zomba-DHO</t>
  </si>
  <si>
    <t>Grand Total</t>
  </si>
  <si>
    <t>District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</si>
  <si>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</si>
  <si>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</si>
  <si>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</si>
  <si>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</si>
  <si>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</si>
  <si>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</si>
  <si>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</si>
  <si>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</si>
  <si>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</si>
  <si>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</si>
  <si>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</si>
  <si>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</si>
  <si>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Period</t>
  </si>
  <si>
    <t>Total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</si>
  <si>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</si>
  <si>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</si>
  <si>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</si>
  <si>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</si>
  <si>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</si>
  <si>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</si>
  <si>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</si>
  <si>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</si>
  <si>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</si>
  <si>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</si>
  <si>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</si>
  <si>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</si>
  <si>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Balaka-DHO Total</t>
  </si>
  <si>
    <t>Blantyre-DHO Total</t>
  </si>
  <si>
    <t>Chikwawa-DHO Total</t>
  </si>
  <si>
    <t>Chiradzulu-DHO Total</t>
  </si>
  <si>
    <t>Chitipa-DHO Total</t>
  </si>
  <si>
    <t>Dedza-DHO Total</t>
  </si>
  <si>
    <t>Dowa-DHO Total</t>
  </si>
  <si>
    <t>Karonga-DHO Total</t>
  </si>
  <si>
    <t>Kasungu-DHO Total</t>
  </si>
  <si>
    <t>Likoma-DHO Total</t>
  </si>
  <si>
    <t>Lilongwe-DHO Total</t>
  </si>
  <si>
    <t>Machinga-DHO Total</t>
  </si>
  <si>
    <t>Mangochi-DHO Total</t>
  </si>
  <si>
    <t>Mchinji-DHO Total</t>
  </si>
  <si>
    <t>Mulanje-DHO Total</t>
  </si>
  <si>
    <t>Mwanza-DHO Total</t>
  </si>
  <si>
    <t>Mzimba-North-DHO Total</t>
  </si>
  <si>
    <t>Mzimba-South-DHO Total</t>
  </si>
  <si>
    <t>Neno-DHO Total</t>
  </si>
  <si>
    <t>Nkhata-Bay-DHO Total</t>
  </si>
  <si>
    <t>Nkhotakota-DHO Total</t>
  </si>
  <si>
    <t>Nsanje-DHO Total</t>
  </si>
  <si>
    <t>Ntcheu-DHO Total</t>
  </si>
  <si>
    <t>Ntchisi-DHO Total</t>
  </si>
  <si>
    <t>Phalombe-DHO Total</t>
  </si>
  <si>
    <t>Rumphi-DHO Total</t>
  </si>
  <si>
    <t>Salima-DHO Total</t>
  </si>
  <si>
    <t>Thyolo-DHO Total</t>
  </si>
  <si>
    <t>Zomba-DHO Total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</si>
  <si>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</si>
  <si>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</si>
  <si>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</si>
  <si>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</si>
  <si>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</si>
  <si>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</si>
  <si>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</si>
  <si>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</si>
  <si>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</si>
  <si>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</si>
  <si>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</si>
  <si>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</si>
  <si>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</si>
  <si>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</si>
  <si>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</si>
  <si>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</si>
  <si>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</si>
  <si>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</si>
  <si>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</si>
  <si>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</si>
  <si>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</si>
  <si>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</si>
  <si>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</si>
  <si>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</si>
  <si>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</si>
  <si>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</si>
  <si>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</si>
  <si>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</si>
  <si>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</si>
  <si>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</si>
  <si>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</si>
  <si>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</si>
  <si>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</si>
  <si>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</si>
  <si>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</si>
  <si>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</si>
  <si>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Grand</t>
  </si>
  <si>
    <t>Malaria Cases</t>
  </si>
  <si>
    <t xml:space="preserve">Malaria Case </t>
  </si>
  <si>
    <t>February 2020</t>
  </si>
  <si>
    <t>January 2020</t>
  </si>
  <si>
    <t>New Malaria Cases</t>
  </si>
  <si>
    <t xml:space="preserve">Grand 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</si>
  <si>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</si>
  <si>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</si>
  <si>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</si>
  <si>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</si>
  <si>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</si>
  <si>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</si>
  <si>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</si>
  <si>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</si>
  <si>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</si>
  <si>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</si>
  <si>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</si>
  <si>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</si>
  <si>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</si>
  <si>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</si>
  <si>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</si>
  <si>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</si>
  <si>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</si>
  <si>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</si>
  <si>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</si>
  <si>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</si>
  <si>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</si>
  <si>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</si>
  <si>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</si>
  <si>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</si>
  <si>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</si>
  <si>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</si>
  <si>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</si>
  <si>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</si>
  <si>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</si>
  <si>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</si>
  <si>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</si>
  <si>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</si>
  <si>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</si>
  <si>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</si>
  <si>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</si>
  <si>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</si>
  <si>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</si>
  <si>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</si>
  <si>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</si>
  <si>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</si>
  <si>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</si>
  <si>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</si>
  <si>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</si>
  <si>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</si>
  <si>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</si>
  <si>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</si>
  <si>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</si>
  <si>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</si>
  <si>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</si>
  <si>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</si>
  <si>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</si>
  <si>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</si>
  <si>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</si>
  <si>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</si>
  <si>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</si>
  <si>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</si>
  <si>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</si>
  <si>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</si>
  <si>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</si>
  <si>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</si>
  <si>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</si>
  <si>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</si>
  <si>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</si>
  <si>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</si>
  <si>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</si>
  <si>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</si>
  <si>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</si>
  <si>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 xml:space="preserve">Malaria Cases </t>
  </si>
  <si>
    <t>October 2024</t>
  </si>
  <si>
    <t>November 2024</t>
  </si>
  <si>
    <t>December 2024</t>
  </si>
  <si>
    <t>Malaria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</si>
</sst>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</borders>
  <cellStyleXfs count="15">
    <xf numFmtId="0" fontId="0" fillId="0" borderId="0"/>
    <xf numFmtId="0" fontId="2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9" fontId="2" fillId="0" borderId="0" applyNumberFormat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0" fontId="2" fillId="0" borderId="0"/>
    <xf numFmtId="0" fontId="7" fillId="2" borderId="0" applyNumberFormat="0" applyBorder="0" applyAlignment="0" applyProtection="0"/>
    <xf numFmtId="0" fontId="5" fillId="3" borderId="0" applyNumberFormat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39">
    <xf numFmtId="0" fontId="0" fillId="0" borderId="0" xfId="0"/>
    <xf numFmtId="0" fontId="2" fillId="0" borderId="1" xfId="1" applyNumberFormat="1" applyFont="1" applyFill="1" applyBorder="1" applyAlignment="1"/>
    <xf numFmtId="0" fontId="3" fillId="0" borderId="2" xfId="1" applyNumberFormat="1" applyFont="1" applyFill="1" applyBorder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0" borderId="3" xfId="1" applyNumberFormat="1" applyFont="1" applyFill="1" applyBorder="1" applyAlignment="1">
      <alignment horizontal="center"/>
    </xf>
    <xf numFmtId="3" fontId="3" fillId="0" borderId="2" xfId="1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3" fillId="0" borderId="4" xfId="1" applyNumberFormat="1" applyFont="1" applyFill="1" applyBorder="1" applyAlignment="1">
      <alignment horizontal="center" wrapText="1"/>
    </xf>
    <xf numFmtId="0" fontId="3" fillId="0" borderId="4" xfId="1" pivotButton="1" applyNumberFormat="1" applyFont="1" applyFill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left"/>
    </xf>
    <xf numFmtId="0" fontId="0" fillId="0" borderId="0" xfId="0" applyAlignment="1">
      <alignment horizontal="left" inden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4" borderId="13" xfId="0" applyFont="1" applyFill="1" applyBorder="1" applyAlignment="1">
      <alignment horizontal="left"/>
    </xf>
    <xf numFmtId="0" fontId="1" fillId="0" borderId="6" xfId="0" applyFont="1" applyBorder="1"/>
    <xf numFmtId="3" fontId="0" fillId="0" borderId="0" xfId="0" applyNumberFormat="1"/>
    <xf numFmtId="3" fontId="1" fillId="0" borderId="8" xfId="0" applyNumberFormat="1" applyFont="1" applyBorder="1"/>
    <xf numFmtId="3" fontId="1" fillId="0" borderId="6" xfId="0" applyNumberFormat="1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3" fontId="0" fillId="0" borderId="9" xfId="0" applyNumberFormat="1" applyBorder="1"/>
    <xf numFmtId="3" fontId="0" fillId="0" borderId="11" xfId="0" applyNumberFormat="1" applyBorder="1"/>
    <xf numFmtId="0" fontId="1" fillId="0" borderId="12" xfId="0" applyFont="1" applyBorder="1"/>
    <xf numFmtId="3" fontId="0" fillId="0" borderId="6" xfId="0" applyNumberFormat="1" applyBorder="1"/>
    <xf numFmtId="3" fontId="0" fillId="0" borderId="7" xfId="0" applyNumberFormat="1" applyBorder="1"/>
    <xf numFmtId="165" fontId="0" fillId="0" borderId="0" xfId="13" applyNumberFormat="1" applyFont="1"/>
    <xf numFmtId="0" fontId="1" fillId="0" borderId="8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4" xfId="0" applyFont="1" applyBorder="1"/>
  </cellXfs>
  <cellStyles count="15">
    <cellStyle name="40% - Accent5 2" xfId="9" xr:uid="{00000000-0005-0000-0000-000000000000}"/>
    <cellStyle name="Accent1 2" xfId="8" xr:uid="{00000000-0005-0000-0000-000001000000}"/>
    <cellStyle name="Comma" xfId="13" builtinId="3"/>
    <cellStyle name="Comma 2" xfId="2" xr:uid="{00000000-0005-0000-0000-000003000000}"/>
    <cellStyle name="Comma 2 2" xfId="10" xr:uid="{00000000-0005-0000-0000-000004000000}"/>
    <cellStyle name="Normal" xfId="0" builtinId="0"/>
    <cellStyle name="Normal 2" xfId="1" xr:uid="{00000000-0005-0000-0000-000006000000}"/>
    <cellStyle name="Normal 2 2" xfId="7" xr:uid="{00000000-0005-0000-0000-000007000000}"/>
    <cellStyle name="Normal 3" xfId="11" xr:uid="{00000000-0005-0000-0000-000008000000}"/>
    <cellStyle name="Normal 3 2" xfId="14" xr:uid="{00000000-0005-0000-0000-000009000000}"/>
    <cellStyle name="Normal 4" xfId="6" xr:uid="{00000000-0005-0000-0000-00000A000000}"/>
    <cellStyle name="Normal 5" xfId="4" xr:uid="{00000000-0005-0000-0000-00000B000000}"/>
    <cellStyle name="Normal 5 2" xfId="12" xr:uid="{00000000-0005-0000-0000-00000C000000}"/>
    <cellStyle name="Normal 6" xfId="5" xr:uid="{00000000-0005-0000-0000-00000D000000}"/>
    <cellStyle name="Percent 2" xfId="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Austin/Downloads/AFR_MW_Data_Final_A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Entry"/>
      <sheetName val="list"/>
      <sheetName val="Notes"/>
    </sheetNames>
    <sheetDataSet>
      <sheetData sheetId="0"/>
      <sheetData sheetId="1">
        <row r="2">
          <cell r="J2" t="str">
            <v>MOH - Uganda</v>
          </cell>
        </row>
        <row r="3">
          <cell r="J3" t="str">
            <v>Central East Zone</v>
          </cell>
        </row>
        <row r="4">
          <cell r="J4" t="str">
            <v>Central Hospital</v>
          </cell>
        </row>
        <row r="5">
          <cell r="J5" t="str">
            <v>Central West Zone</v>
          </cell>
        </row>
        <row r="6">
          <cell r="J6" t="str">
            <v>North Zone</v>
          </cell>
        </row>
        <row r="7">
          <cell r="J7" t="str">
            <v>South East Zone</v>
          </cell>
        </row>
        <row r="8">
          <cell r="J8" t="str">
            <v>South West Zone</v>
          </cell>
        </row>
        <row r="9">
          <cell r="J9" t="str">
            <v>Balaka</v>
          </cell>
        </row>
        <row r="10">
          <cell r="J10" t="str">
            <v>Blantyre</v>
          </cell>
        </row>
        <row r="11">
          <cell r="J11" t="str">
            <v>Chikwawa</v>
          </cell>
        </row>
        <row r="12">
          <cell r="J12" t="str">
            <v>Chiradzulu</v>
          </cell>
        </row>
        <row r="13">
          <cell r="J13" t="str">
            <v>Chitipa</v>
          </cell>
        </row>
        <row r="14">
          <cell r="J14" t="str">
            <v>Dedza</v>
          </cell>
        </row>
        <row r="15">
          <cell r="J15" t="str">
            <v>Dowa</v>
          </cell>
        </row>
        <row r="16">
          <cell r="J16" t="str">
            <v>Kamuzu Central Hospital</v>
          </cell>
        </row>
        <row r="17">
          <cell r="J17" t="str">
            <v>Karonga</v>
          </cell>
        </row>
        <row r="18">
          <cell r="J18" t="str">
            <v>Kasungu</v>
          </cell>
        </row>
        <row r="19">
          <cell r="J19" t="str">
            <v>Likoma</v>
          </cell>
        </row>
        <row r="20">
          <cell r="J20" t="str">
            <v>Lilongwe</v>
          </cell>
        </row>
        <row r="21">
          <cell r="J21" t="str">
            <v>Machinga</v>
          </cell>
        </row>
        <row r="22">
          <cell r="J22" t="str">
            <v>Mangochi</v>
          </cell>
        </row>
        <row r="23">
          <cell r="J23" t="str">
            <v>Mchinji</v>
          </cell>
        </row>
        <row r="24">
          <cell r="J24" t="str">
            <v>Mulanje</v>
          </cell>
        </row>
        <row r="25">
          <cell r="J25" t="str">
            <v>Mwanza</v>
          </cell>
        </row>
        <row r="26">
          <cell r="J26" t="str">
            <v>Mzimba</v>
          </cell>
        </row>
        <row r="27">
          <cell r="J27" t="str">
            <v>Mzimba North</v>
          </cell>
        </row>
        <row r="28">
          <cell r="J28" t="str">
            <v>Mzimba South</v>
          </cell>
        </row>
        <row r="29">
          <cell r="J29" t="str">
            <v>Mzuzu Central Hospital</v>
          </cell>
        </row>
        <row r="30">
          <cell r="J30" t="str">
            <v>Neno</v>
          </cell>
        </row>
        <row r="31">
          <cell r="J31" t="str">
            <v>Nkhata Bay</v>
          </cell>
        </row>
        <row r="32">
          <cell r="J32" t="str">
            <v>Nkhotakota</v>
          </cell>
        </row>
        <row r="33">
          <cell r="J33" t="str">
            <v>Nsanje</v>
          </cell>
        </row>
        <row r="34">
          <cell r="J34" t="str">
            <v>Ntcheu</v>
          </cell>
        </row>
        <row r="35">
          <cell r="J35" t="str">
            <v>Ntchisi</v>
          </cell>
        </row>
        <row r="36">
          <cell r="J36" t="str">
            <v>Phalombe</v>
          </cell>
        </row>
        <row r="37">
          <cell r="J37" t="str">
            <v>Queen Elizaberth Central Hospital</v>
          </cell>
        </row>
        <row r="38">
          <cell r="J38" t="str">
            <v>Rumphi</v>
          </cell>
        </row>
        <row r="39">
          <cell r="J39" t="str">
            <v>Salima</v>
          </cell>
        </row>
        <row r="40">
          <cell r="J40" t="str">
            <v>Thyolo</v>
          </cell>
        </row>
        <row r="41">
          <cell r="J41" t="str">
            <v>Zomba Central Hospital</v>
          </cell>
        </row>
        <row r="42">
          <cell r="J42" t="str">
            <v>Zomba</v>
          </cell>
        </row>
        <row r="43">
          <cell r="J43" t="str">
            <v>Zomba Mental Hospital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19" workbookViewId="0">
      <selection activeCell="K10" sqref="K10"/>
    </sheetView>
  </sheetViews>
  <sheetFormatPr baseColWidth="10" defaultColWidth="8.83203125" defaultRowHeight="15" x14ac:dyDescent="0.2"/>
  <cols>
    <col min="1" max="1" width="17.5" customWidth="1"/>
    <col min="2" max="2" width="12.33203125" customWidth="1"/>
    <col min="3" max="3" width="12.1640625" customWidth="1"/>
    <col min="4" max="4" width="13.5" customWidth="1"/>
  </cols>
  <sheetData>
    <row r="1" spans="1:6" x14ac:dyDescent="0.2">
      <c r="A1" s="10" t="s">
        <v>30</v>
      </c>
      <c r="B1" s="9">
        <v>2015</v>
      </c>
      <c r="C1" s="9">
        <v>2016</v>
      </c>
      <c r="D1" s="9">
        <v>2017</v>
      </c>
      <c r="E1" s="11">
        <v>2018</v>
      </c>
      <c r="F1" s="11">
        <v>2019</v>
      </c>
    </row>
    <row r="2" spans="1:6" x14ac:dyDescent="0.2">
      <c r="A2" s="1" t="s">
        <v>0</v>
      </c>
      <c r="B2" s="5">
        <v>167108</v>
      </c>
      <c r="C2" s="4">
        <v>129291</v>
      </c>
      <c r="D2">
        <v>161443</v>
      </c>
      <c r="F2" s="12">
        <v>228751</v>
      </c>
    </row>
    <row r="3" spans="1:6" x14ac:dyDescent="0.2">
      <c r="A3" s="1" t="s">
        <v>1</v>
      </c>
      <c r="B3" s="5">
        <v>316782</v>
      </c>
      <c r="C3" s="4">
        <v>318371</v>
      </c>
      <c r="D3">
        <v>312319</v>
      </c>
      <c r="F3" s="13">
        <v>266519</v>
      </c>
    </row>
    <row r="4" spans="1:6" x14ac:dyDescent="0.2">
      <c r="A4" s="1" t="s">
        <v>2</v>
      </c>
      <c r="B4" s="5">
        <v>217536</v>
      </c>
      <c r="C4" s="4">
        <v>120950</v>
      </c>
      <c r="D4">
        <v>171960</v>
      </c>
      <c r="F4" s="13">
        <v>241029</v>
      </c>
    </row>
    <row r="5" spans="1:6" x14ac:dyDescent="0.2">
      <c r="A5" s="1" t="s">
        <v>3</v>
      </c>
      <c r="B5" s="5">
        <v>99090</v>
      </c>
      <c r="C5" s="4">
        <v>116779</v>
      </c>
      <c r="D5">
        <v>92145</v>
      </c>
      <c r="F5" s="13">
        <v>58047</v>
      </c>
    </row>
    <row r="6" spans="1:6" x14ac:dyDescent="0.2">
      <c r="A6" s="1" t="s">
        <v>4</v>
      </c>
      <c r="B6" s="5">
        <v>58997</v>
      </c>
      <c r="C6" s="4">
        <v>61774</v>
      </c>
      <c r="D6">
        <v>67874</v>
      </c>
      <c r="F6" s="13">
        <v>41042</v>
      </c>
    </row>
    <row r="7" spans="1:6" x14ac:dyDescent="0.2">
      <c r="A7" s="1" t="s">
        <v>5</v>
      </c>
      <c r="B7" s="5">
        <v>266265</v>
      </c>
      <c r="C7" s="4">
        <v>289794</v>
      </c>
      <c r="D7">
        <v>265360</v>
      </c>
      <c r="F7" s="13">
        <v>226208</v>
      </c>
    </row>
    <row r="8" spans="1:6" x14ac:dyDescent="0.2">
      <c r="A8" s="1" t="s">
        <v>6</v>
      </c>
      <c r="B8" s="5">
        <v>268883</v>
      </c>
      <c r="C8" s="4">
        <v>243872</v>
      </c>
      <c r="D8">
        <v>235961</v>
      </c>
      <c r="F8" s="13">
        <v>224927</v>
      </c>
    </row>
    <row r="9" spans="1:6" x14ac:dyDescent="0.2">
      <c r="A9" s="1" t="s">
        <v>7</v>
      </c>
      <c r="B9" s="5">
        <v>180051</v>
      </c>
      <c r="C9" s="4">
        <v>155430</v>
      </c>
      <c r="D9">
        <v>153299</v>
      </c>
      <c r="F9" s="13">
        <v>38719</v>
      </c>
    </row>
    <row r="10" spans="1:6" x14ac:dyDescent="0.2">
      <c r="A10" s="1" t="s">
        <v>8</v>
      </c>
      <c r="B10" s="5">
        <v>377210</v>
      </c>
      <c r="C10" s="4">
        <v>320240</v>
      </c>
      <c r="D10">
        <v>267672</v>
      </c>
      <c r="F10" s="13">
        <v>387536</v>
      </c>
    </row>
    <row r="11" spans="1:6" x14ac:dyDescent="0.2">
      <c r="A11" s="1" t="s">
        <v>9</v>
      </c>
      <c r="B11" s="5">
        <v>5282</v>
      </c>
      <c r="C11" s="4">
        <v>11907</v>
      </c>
      <c r="D11">
        <v>8071</v>
      </c>
      <c r="F11" s="13">
        <v>5287</v>
      </c>
    </row>
    <row r="12" spans="1:6" x14ac:dyDescent="0.2">
      <c r="A12" s="1" t="s">
        <v>10</v>
      </c>
      <c r="B12" s="5">
        <v>614406</v>
      </c>
      <c r="C12" s="4">
        <v>726437</v>
      </c>
      <c r="D12">
        <v>753304</v>
      </c>
      <c r="F12" s="13">
        <v>486884</v>
      </c>
    </row>
    <row r="13" spans="1:6" x14ac:dyDescent="0.2">
      <c r="A13" s="1" t="s">
        <v>11</v>
      </c>
      <c r="B13" s="5">
        <v>246430</v>
      </c>
      <c r="C13" s="4">
        <v>192230</v>
      </c>
      <c r="D13">
        <v>202882</v>
      </c>
      <c r="F13" s="13">
        <v>116609</v>
      </c>
    </row>
    <row r="14" spans="1:6" x14ac:dyDescent="0.2">
      <c r="A14" s="1" t="s">
        <v>12</v>
      </c>
      <c r="B14" s="5">
        <v>330534</v>
      </c>
      <c r="C14" s="4">
        <v>312915</v>
      </c>
      <c r="D14">
        <v>353786</v>
      </c>
      <c r="F14" s="13">
        <v>403560</v>
      </c>
    </row>
    <row r="15" spans="1:6" x14ac:dyDescent="0.2">
      <c r="A15" s="1" t="s">
        <v>13</v>
      </c>
      <c r="B15" s="5">
        <v>181447</v>
      </c>
      <c r="C15" s="4">
        <v>191273</v>
      </c>
      <c r="D15">
        <v>173946</v>
      </c>
      <c r="F15" s="13">
        <v>233954</v>
      </c>
    </row>
    <row r="16" spans="1:6" x14ac:dyDescent="0.2">
      <c r="A16" s="1" t="s">
        <v>14</v>
      </c>
      <c r="B16" s="5">
        <v>261319</v>
      </c>
      <c r="C16" s="4">
        <v>231629</v>
      </c>
      <c r="D16">
        <v>268714</v>
      </c>
      <c r="F16" s="13">
        <v>247051</v>
      </c>
    </row>
    <row r="17" spans="1:6" x14ac:dyDescent="0.2">
      <c r="A17" s="1" t="s">
        <v>15</v>
      </c>
      <c r="B17" s="5">
        <v>90515</v>
      </c>
      <c r="C17" s="4">
        <v>85761</v>
      </c>
      <c r="D17">
        <v>76825</v>
      </c>
      <c r="F17" s="13">
        <v>42791</v>
      </c>
    </row>
    <row r="18" spans="1:6" x14ac:dyDescent="0.2">
      <c r="A18" s="1" t="s">
        <v>16</v>
      </c>
      <c r="B18" s="5">
        <v>165934</v>
      </c>
      <c r="C18" s="4">
        <f>197805+2421</f>
        <v>200226</v>
      </c>
      <c r="D18">
        <v>124258</v>
      </c>
      <c r="F18" s="13">
        <v>168576</v>
      </c>
    </row>
    <row r="19" spans="1:6" x14ac:dyDescent="0.2">
      <c r="A19" s="1" t="s">
        <v>17</v>
      </c>
      <c r="B19" s="5">
        <v>216941</v>
      </c>
      <c r="C19" s="4">
        <v>218041</v>
      </c>
      <c r="D19">
        <v>132659</v>
      </c>
      <c r="F19" s="13">
        <v>167391</v>
      </c>
    </row>
    <row r="20" spans="1:6" x14ac:dyDescent="0.2">
      <c r="A20" s="1" t="s">
        <v>18</v>
      </c>
      <c r="B20" s="5">
        <v>102302</v>
      </c>
      <c r="C20" s="4">
        <v>136538</v>
      </c>
      <c r="D20">
        <v>116006</v>
      </c>
      <c r="F20" s="13">
        <v>69238</v>
      </c>
    </row>
    <row r="21" spans="1:6" x14ac:dyDescent="0.2">
      <c r="A21" s="1" t="s">
        <v>19</v>
      </c>
      <c r="B21" s="5">
        <v>222302</v>
      </c>
      <c r="C21" s="4">
        <v>185610</v>
      </c>
      <c r="D21">
        <v>269819</v>
      </c>
      <c r="F21" s="13">
        <v>269547</v>
      </c>
    </row>
    <row r="22" spans="1:6" x14ac:dyDescent="0.2">
      <c r="A22" s="1" t="s">
        <v>20</v>
      </c>
      <c r="B22" s="5">
        <v>285965</v>
      </c>
      <c r="C22" s="4">
        <v>299328</v>
      </c>
      <c r="D22">
        <v>371709</v>
      </c>
      <c r="F22" s="13">
        <v>194498</v>
      </c>
    </row>
    <row r="23" spans="1:6" x14ac:dyDescent="0.2">
      <c r="A23" s="1" t="s">
        <v>21</v>
      </c>
      <c r="B23" s="5">
        <v>136207</v>
      </c>
      <c r="C23" s="4">
        <v>78644</v>
      </c>
      <c r="D23">
        <v>30340</v>
      </c>
      <c r="F23" s="13">
        <v>76188</v>
      </c>
    </row>
    <row r="24" spans="1:6" x14ac:dyDescent="0.2">
      <c r="A24" s="1" t="s">
        <v>22</v>
      </c>
      <c r="B24" s="5">
        <v>293646</v>
      </c>
      <c r="C24" s="4">
        <v>268138</v>
      </c>
      <c r="D24">
        <v>313386</v>
      </c>
      <c r="F24" s="13">
        <v>233527</v>
      </c>
    </row>
    <row r="25" spans="1:6" x14ac:dyDescent="0.2">
      <c r="A25" s="1" t="s">
        <v>23</v>
      </c>
      <c r="B25" s="5">
        <v>206742</v>
      </c>
      <c r="C25" s="4">
        <v>220677</v>
      </c>
      <c r="D25">
        <v>211138</v>
      </c>
      <c r="F25" s="13">
        <v>67345</v>
      </c>
    </row>
    <row r="26" spans="1:6" x14ac:dyDescent="0.2">
      <c r="A26" s="1" t="s">
        <v>24</v>
      </c>
      <c r="B26" s="5">
        <v>89077</v>
      </c>
      <c r="C26" s="4">
        <v>124364</v>
      </c>
      <c r="D26">
        <v>100923</v>
      </c>
      <c r="F26" s="13">
        <v>60336</v>
      </c>
    </row>
    <row r="27" spans="1:6" x14ac:dyDescent="0.2">
      <c r="A27" s="1" t="s">
        <v>25</v>
      </c>
      <c r="B27" s="5">
        <v>105929</v>
      </c>
      <c r="C27" s="4">
        <v>112629</v>
      </c>
      <c r="D27">
        <v>48544</v>
      </c>
      <c r="F27" s="13">
        <v>39753</v>
      </c>
    </row>
    <row r="28" spans="1:6" x14ac:dyDescent="0.2">
      <c r="A28" s="1" t="s">
        <v>26</v>
      </c>
      <c r="B28" s="5">
        <v>278971</v>
      </c>
      <c r="C28" s="4">
        <v>211880</v>
      </c>
      <c r="D28">
        <v>255325</v>
      </c>
      <c r="F28" s="13">
        <v>121858</v>
      </c>
    </row>
    <row r="29" spans="1:6" x14ac:dyDescent="0.2">
      <c r="A29" s="1" t="s">
        <v>27</v>
      </c>
      <c r="B29" s="5">
        <v>174304</v>
      </c>
      <c r="C29" s="4">
        <v>226873</v>
      </c>
      <c r="D29">
        <v>128230</v>
      </c>
      <c r="F29" s="13">
        <v>100638</v>
      </c>
    </row>
    <row r="30" spans="1:6" x14ac:dyDescent="0.2">
      <c r="A30" s="1" t="s">
        <v>28</v>
      </c>
      <c r="B30" s="5">
        <v>335624</v>
      </c>
      <c r="C30" s="4">
        <v>339174</v>
      </c>
      <c r="D30">
        <v>268456</v>
      </c>
      <c r="F30" s="13">
        <v>312110</v>
      </c>
    </row>
    <row r="31" spans="1:6" s="3" customFormat="1" x14ac:dyDescent="0.2">
      <c r="A31" s="2" t="s">
        <v>29</v>
      </c>
      <c r="B31" s="6">
        <f t="shared" ref="B31:C31" si="0">SUM(B2:B30)</f>
        <v>6295799</v>
      </c>
      <c r="C31" s="6">
        <f t="shared" si="0"/>
        <v>6130775</v>
      </c>
      <c r="D31" s="6">
        <f>SUM(D2:D30)</f>
        <v>5936354</v>
      </c>
      <c r="E31" s="6">
        <f>SUM(E2:E30)</f>
        <v>0</v>
      </c>
      <c r="F31" s="6">
        <f>SUM(F2:F30)</f>
        <v>5129919</v>
      </c>
    </row>
    <row r="32" spans="1:6" x14ac:dyDescent="0.2">
      <c r="B32" s="4"/>
      <c r="C32" s="4"/>
      <c r="D32" s="4"/>
    </row>
    <row r="33" spans="1:2" x14ac:dyDescent="0.2">
      <c r="A33" s="7"/>
      <c r="B33" s="3"/>
    </row>
    <row r="34" spans="1:2" x14ac:dyDescent="0.2">
      <c r="A34" s="8"/>
      <c r="B3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1"/>
  <sheetViews>
    <sheetView zoomScale="105" workbookViewId="0"/>
  </sheetViews>
  <sheetFormatPr baseColWidth="10" defaultColWidth="8.83203125" defaultRowHeight="15" x14ac:dyDescent="0.2"/>
  <cols>
    <col min="1" max="1" width="19.83203125" customWidth="1"/>
    <col min="2" max="2" width="14.5" customWidth="1"/>
    <col min="3" max="3" width="14.1640625" customWidth="1"/>
  </cols>
  <sheetData>
    <row r="1" spans="1:3" ht="16" x14ac:dyDescent="0.2">
      <c r="A1" s="25" t="s">
        <v>30</v>
      </c>
      <c r="B1" s="24" t="s">
        <v>43</v>
      </c>
      <c r="C1" s="20" t="s">
        <v>124</v>
      </c>
    </row>
    <row r="2" spans="1:3" x14ac:dyDescent="0.2">
      <c r="A2" s="16" t="s">
        <v>0</v>
      </c>
      <c r="B2" s="15" t="s">
        <v>31</v>
      </c>
      <c r="C2">
        <v>15656</v>
      </c>
    </row>
    <row r="3" spans="1:3" x14ac:dyDescent="0.2">
      <c r="A3" s="17"/>
      <c r="B3" s="15" t="s">
        <v>32</v>
      </c>
      <c r="C3">
        <v>18171</v>
      </c>
    </row>
    <row r="4" spans="1:3" x14ac:dyDescent="0.2">
      <c r="A4" s="17"/>
      <c r="B4" s="15" t="s">
        <v>33</v>
      </c>
      <c r="C4">
        <v>25360</v>
      </c>
    </row>
    <row r="5" spans="1:3" x14ac:dyDescent="0.2">
      <c r="A5" s="17"/>
      <c r="B5" s="15" t="s">
        <v>34</v>
      </c>
      <c r="C5">
        <v>27976</v>
      </c>
    </row>
    <row r="6" spans="1:3" x14ac:dyDescent="0.2">
      <c r="A6" s="17"/>
      <c r="B6" s="15" t="s">
        <v>35</v>
      </c>
      <c r="C6">
        <v>19399</v>
      </c>
    </row>
    <row r="7" spans="1:3" x14ac:dyDescent="0.2">
      <c r="A7" s="17"/>
      <c r="B7" s="15" t="s">
        <v>36</v>
      </c>
      <c r="C7">
        <v>14549</v>
      </c>
    </row>
    <row r="8" spans="1:3" x14ac:dyDescent="0.2">
      <c r="A8" s="17"/>
      <c r="B8" s="15" t="s">
        <v>37</v>
      </c>
      <c r="C8">
        <v>9857</v>
      </c>
    </row>
    <row r="9" spans="1:3" x14ac:dyDescent="0.2">
      <c r="A9" s="17"/>
      <c r="B9" s="15" t="s">
        <v>38</v>
      </c>
      <c r="C9">
        <v>8912</v>
      </c>
    </row>
    <row r="10" spans="1:3" x14ac:dyDescent="0.2">
      <c r="A10" s="17"/>
      <c r="B10" s="15" t="s">
        <v>39</v>
      </c>
      <c r="C10">
        <v>10787</v>
      </c>
    </row>
    <row r="11" spans="1:3" x14ac:dyDescent="0.2">
      <c r="A11" s="17"/>
      <c r="B11" s="15" t="s">
        <v>40</v>
      </c>
      <c r="C11">
        <v>8938</v>
      </c>
    </row>
    <row r="12" spans="1:3" x14ac:dyDescent="0.2">
      <c r="A12" s="17"/>
      <c r="B12" s="15" t="s">
        <v>41</v>
      </c>
      <c r="C12">
        <v>5702</v>
      </c>
    </row>
    <row r="13" spans="1:3" x14ac:dyDescent="0.2">
      <c r="A13" s="17"/>
      <c r="B13" s="15" t="s">
        <v>42</v>
      </c>
      <c r="C13">
        <v>4813</v>
      </c>
    </row>
    <row r="14" spans="1:3" x14ac:dyDescent="0.2">
      <c r="A14" s="24" t="s">
        <v>57</v>
      </c>
      <c r="B14" s="14"/>
      <c r="C14" s="33">
        <v>170120</v>
      </c>
    </row>
    <row r="15" spans="1:3" x14ac:dyDescent="0.2">
      <c r="A15" s="16" t="s">
        <v>1</v>
      </c>
      <c r="B15" s="15" t="s">
        <v>31</v>
      </c>
      <c r="C15">
        <v>39051</v>
      </c>
    </row>
    <row r="16" spans="1:3" x14ac:dyDescent="0.2">
      <c r="A16" s="17"/>
      <c r="B16" s="15" t="s">
        <v>32</v>
      </c>
      <c r="C16">
        <v>31896</v>
      </c>
    </row>
    <row r="17" spans="1:3" x14ac:dyDescent="0.2">
      <c r="A17" s="17"/>
      <c r="B17" s="15" t="s">
        <v>33</v>
      </c>
      <c r="C17">
        <v>27420</v>
      </c>
    </row>
    <row r="18" spans="1:3" x14ac:dyDescent="0.2">
      <c r="A18" s="17"/>
      <c r="B18" s="15" t="s">
        <v>34</v>
      </c>
      <c r="C18">
        <v>34883</v>
      </c>
    </row>
    <row r="19" spans="1:3" x14ac:dyDescent="0.2">
      <c r="A19" s="17"/>
      <c r="B19" s="15" t="s">
        <v>35</v>
      </c>
      <c r="C19">
        <v>31406</v>
      </c>
    </row>
    <row r="20" spans="1:3" x14ac:dyDescent="0.2">
      <c r="A20" s="17"/>
      <c r="B20" s="15" t="s">
        <v>36</v>
      </c>
      <c r="C20">
        <v>28750</v>
      </c>
    </row>
    <row r="21" spans="1:3" x14ac:dyDescent="0.2">
      <c r="A21" s="17"/>
      <c r="B21" s="15" t="s">
        <v>37</v>
      </c>
      <c r="C21">
        <v>22984</v>
      </c>
    </row>
    <row r="22" spans="1:3" x14ac:dyDescent="0.2">
      <c r="A22" s="17"/>
      <c r="B22" s="15" t="s">
        <v>38</v>
      </c>
      <c r="C22">
        <v>21069</v>
      </c>
    </row>
    <row r="23" spans="1:3" x14ac:dyDescent="0.2">
      <c r="A23" s="17"/>
      <c r="B23" s="15" t="s">
        <v>39</v>
      </c>
      <c r="C23">
        <v>22863</v>
      </c>
    </row>
    <row r="24" spans="1:3" x14ac:dyDescent="0.2">
      <c r="A24" s="17"/>
      <c r="B24" s="15" t="s">
        <v>40</v>
      </c>
      <c r="C24">
        <v>19785</v>
      </c>
    </row>
    <row r="25" spans="1:3" x14ac:dyDescent="0.2">
      <c r="A25" s="17"/>
      <c r="B25" s="15" t="s">
        <v>41</v>
      </c>
      <c r="C25">
        <v>21017</v>
      </c>
    </row>
    <row r="26" spans="1:3" x14ac:dyDescent="0.2">
      <c r="A26" s="17"/>
      <c r="B26" s="15" t="s">
        <v>42</v>
      </c>
      <c r="C26">
        <v>21268</v>
      </c>
    </row>
    <row r="27" spans="1:3" x14ac:dyDescent="0.2">
      <c r="A27" s="24" t="s">
        <v>58</v>
      </c>
      <c r="B27" s="14"/>
      <c r="C27" s="33">
        <v>322392</v>
      </c>
    </row>
    <row r="28" spans="1:3" x14ac:dyDescent="0.2">
      <c r="A28" s="16" t="s">
        <v>2</v>
      </c>
      <c r="B28" s="15" t="s">
        <v>31</v>
      </c>
      <c r="C28">
        <v>13720</v>
      </c>
    </row>
    <row r="29" spans="1:3" x14ac:dyDescent="0.2">
      <c r="A29" s="17"/>
      <c r="B29" s="15" t="s">
        <v>32</v>
      </c>
      <c r="C29">
        <v>18663</v>
      </c>
    </row>
    <row r="30" spans="1:3" x14ac:dyDescent="0.2">
      <c r="A30" s="17"/>
      <c r="B30" s="15" t="s">
        <v>33</v>
      </c>
      <c r="C30">
        <v>24412</v>
      </c>
    </row>
    <row r="31" spans="1:3" x14ac:dyDescent="0.2">
      <c r="A31" s="17"/>
      <c r="B31" s="15" t="s">
        <v>34</v>
      </c>
      <c r="C31">
        <v>32628</v>
      </c>
    </row>
    <row r="32" spans="1:3" x14ac:dyDescent="0.2">
      <c r="A32" s="17"/>
      <c r="B32" s="15" t="s">
        <v>35</v>
      </c>
      <c r="C32">
        <v>27686</v>
      </c>
    </row>
    <row r="33" spans="1:3" x14ac:dyDescent="0.2">
      <c r="A33" s="17"/>
      <c r="B33" s="15" t="s">
        <v>36</v>
      </c>
      <c r="C33">
        <v>25133</v>
      </c>
    </row>
    <row r="34" spans="1:3" x14ac:dyDescent="0.2">
      <c r="A34" s="17"/>
      <c r="B34" s="15" t="s">
        <v>37</v>
      </c>
      <c r="C34">
        <v>18502</v>
      </c>
    </row>
    <row r="35" spans="1:3" x14ac:dyDescent="0.2">
      <c r="A35" s="17"/>
      <c r="B35" s="15" t="s">
        <v>38</v>
      </c>
      <c r="C35">
        <v>17098</v>
      </c>
    </row>
    <row r="36" spans="1:3" x14ac:dyDescent="0.2">
      <c r="A36" s="17"/>
      <c r="B36" s="15" t="s">
        <v>39</v>
      </c>
      <c r="C36">
        <v>19484</v>
      </c>
    </row>
    <row r="37" spans="1:3" x14ac:dyDescent="0.2">
      <c r="A37" s="17"/>
      <c r="B37" s="15" t="s">
        <v>40</v>
      </c>
      <c r="C37">
        <v>13764</v>
      </c>
    </row>
    <row r="38" spans="1:3" x14ac:dyDescent="0.2">
      <c r="A38" s="17"/>
      <c r="B38" s="15" t="s">
        <v>41</v>
      </c>
      <c r="C38">
        <v>6902</v>
      </c>
    </row>
    <row r="39" spans="1:3" x14ac:dyDescent="0.2">
      <c r="A39" s="17"/>
      <c r="B39" s="15" t="s">
        <v>42</v>
      </c>
      <c r="C39">
        <v>5151</v>
      </c>
    </row>
    <row r="40" spans="1:3" x14ac:dyDescent="0.2">
      <c r="A40" s="24" t="s">
        <v>59</v>
      </c>
      <c r="B40" s="14"/>
      <c r="C40" s="33">
        <v>223143</v>
      </c>
    </row>
    <row r="41" spans="1:3" x14ac:dyDescent="0.2">
      <c r="A41" s="16" t="s">
        <v>3</v>
      </c>
      <c r="B41" s="15" t="s">
        <v>31</v>
      </c>
      <c r="C41">
        <v>11379</v>
      </c>
    </row>
    <row r="42" spans="1:3" x14ac:dyDescent="0.2">
      <c r="A42" s="17"/>
      <c r="B42" s="15" t="s">
        <v>32</v>
      </c>
      <c r="C42">
        <v>9644</v>
      </c>
    </row>
    <row r="43" spans="1:3" x14ac:dyDescent="0.2">
      <c r="A43" s="17"/>
      <c r="B43" s="15" t="s">
        <v>33</v>
      </c>
      <c r="C43">
        <v>9229</v>
      </c>
    </row>
    <row r="44" spans="1:3" x14ac:dyDescent="0.2">
      <c r="A44" s="17"/>
      <c r="B44" s="15" t="s">
        <v>34</v>
      </c>
      <c r="C44">
        <v>15959</v>
      </c>
    </row>
    <row r="45" spans="1:3" x14ac:dyDescent="0.2">
      <c r="A45" s="17"/>
      <c r="B45" s="15" t="s">
        <v>35</v>
      </c>
      <c r="C45">
        <v>13366</v>
      </c>
    </row>
    <row r="46" spans="1:3" x14ac:dyDescent="0.2">
      <c r="A46" s="17"/>
      <c r="B46" s="15" t="s">
        <v>36</v>
      </c>
      <c r="C46">
        <v>8432</v>
      </c>
    </row>
    <row r="47" spans="1:3" x14ac:dyDescent="0.2">
      <c r="A47" s="17"/>
      <c r="B47" s="15" t="s">
        <v>37</v>
      </c>
      <c r="C47">
        <v>4658</v>
      </c>
    </row>
    <row r="48" spans="1:3" x14ac:dyDescent="0.2">
      <c r="A48" s="17"/>
      <c r="B48" s="15" t="s">
        <v>38</v>
      </c>
      <c r="C48">
        <v>4164</v>
      </c>
    </row>
    <row r="49" spans="1:3" x14ac:dyDescent="0.2">
      <c r="A49" s="17"/>
      <c r="B49" s="15" t="s">
        <v>39</v>
      </c>
      <c r="C49">
        <v>4814</v>
      </c>
    </row>
    <row r="50" spans="1:3" x14ac:dyDescent="0.2">
      <c r="A50" s="17"/>
      <c r="B50" s="15" t="s">
        <v>40</v>
      </c>
      <c r="C50">
        <v>7693</v>
      </c>
    </row>
    <row r="51" spans="1:3" x14ac:dyDescent="0.2">
      <c r="A51" s="17"/>
      <c r="B51" s="15" t="s">
        <v>41</v>
      </c>
      <c r="C51">
        <v>6217</v>
      </c>
    </row>
    <row r="52" spans="1:3" x14ac:dyDescent="0.2">
      <c r="A52" s="17"/>
      <c r="B52" s="15" t="s">
        <v>42</v>
      </c>
      <c r="C52">
        <v>4689</v>
      </c>
    </row>
    <row r="53" spans="1:3" x14ac:dyDescent="0.2">
      <c r="A53" s="24" t="s">
        <v>60</v>
      </c>
      <c r="B53" s="14"/>
      <c r="C53" s="33">
        <v>100244</v>
      </c>
    </row>
    <row r="54" spans="1:3" x14ac:dyDescent="0.2">
      <c r="A54" s="16" t="s">
        <v>4</v>
      </c>
      <c r="B54" s="15" t="s">
        <v>31</v>
      </c>
      <c r="C54">
        <v>6824</v>
      </c>
    </row>
    <row r="55" spans="1:3" x14ac:dyDescent="0.2">
      <c r="A55" s="17"/>
      <c r="B55" s="15" t="s">
        <v>32</v>
      </c>
      <c r="C55">
        <v>7478</v>
      </c>
    </row>
    <row r="56" spans="1:3" x14ac:dyDescent="0.2">
      <c r="A56" s="17"/>
      <c r="B56" s="15" t="s">
        <v>33</v>
      </c>
      <c r="C56">
        <v>9262</v>
      </c>
    </row>
    <row r="57" spans="1:3" x14ac:dyDescent="0.2">
      <c r="A57" s="17"/>
      <c r="B57" s="15" t="s">
        <v>34</v>
      </c>
      <c r="C57">
        <v>9301</v>
      </c>
    </row>
    <row r="58" spans="1:3" x14ac:dyDescent="0.2">
      <c r="A58" s="17"/>
      <c r="B58" s="15" t="s">
        <v>35</v>
      </c>
      <c r="C58">
        <v>9215</v>
      </c>
    </row>
    <row r="59" spans="1:3" x14ac:dyDescent="0.2">
      <c r="A59" s="17"/>
      <c r="B59" s="15" t="s">
        <v>36</v>
      </c>
      <c r="C59">
        <v>7048</v>
      </c>
    </row>
    <row r="60" spans="1:3" x14ac:dyDescent="0.2">
      <c r="A60" s="17"/>
      <c r="B60" s="15" t="s">
        <v>37</v>
      </c>
      <c r="C60">
        <v>4701</v>
      </c>
    </row>
    <row r="61" spans="1:3" x14ac:dyDescent="0.2">
      <c r="A61" s="17"/>
      <c r="B61" s="15" t="s">
        <v>38</v>
      </c>
      <c r="C61">
        <v>4104</v>
      </c>
    </row>
    <row r="62" spans="1:3" x14ac:dyDescent="0.2">
      <c r="A62" s="17"/>
      <c r="B62" s="15" t="s">
        <v>39</v>
      </c>
      <c r="C62">
        <v>2929</v>
      </c>
    </row>
    <row r="63" spans="1:3" x14ac:dyDescent="0.2">
      <c r="A63" s="17"/>
      <c r="B63" s="15" t="s">
        <v>40</v>
      </c>
      <c r="C63">
        <v>3542</v>
      </c>
    </row>
    <row r="64" spans="1:3" x14ac:dyDescent="0.2">
      <c r="A64" s="17"/>
      <c r="B64" s="15" t="s">
        <v>41</v>
      </c>
      <c r="C64">
        <v>3227</v>
      </c>
    </row>
    <row r="65" spans="1:3" x14ac:dyDescent="0.2">
      <c r="A65" s="24"/>
      <c r="B65" s="15" t="s">
        <v>42</v>
      </c>
      <c r="C65">
        <v>6020</v>
      </c>
    </row>
    <row r="66" spans="1:3" x14ac:dyDescent="0.2">
      <c r="A66" s="24" t="s">
        <v>61</v>
      </c>
      <c r="B66" s="14"/>
      <c r="C66" s="33">
        <v>73651</v>
      </c>
    </row>
    <row r="67" spans="1:3" x14ac:dyDescent="0.2">
      <c r="A67" s="16" t="s">
        <v>5</v>
      </c>
      <c r="B67" s="15" t="s">
        <v>31</v>
      </c>
      <c r="C67">
        <v>37641</v>
      </c>
    </row>
    <row r="68" spans="1:3" x14ac:dyDescent="0.2">
      <c r="A68" s="17"/>
      <c r="B68" s="15" t="s">
        <v>32</v>
      </c>
      <c r="C68">
        <v>26019</v>
      </c>
    </row>
    <row r="69" spans="1:3" x14ac:dyDescent="0.2">
      <c r="A69" s="17"/>
      <c r="B69" s="15" t="s">
        <v>33</v>
      </c>
      <c r="C69">
        <v>31079</v>
      </c>
    </row>
    <row r="70" spans="1:3" x14ac:dyDescent="0.2">
      <c r="A70" s="17"/>
      <c r="B70" s="15" t="s">
        <v>34</v>
      </c>
      <c r="C70">
        <v>34199</v>
      </c>
    </row>
    <row r="71" spans="1:3" x14ac:dyDescent="0.2">
      <c r="A71" s="17"/>
      <c r="B71" s="15" t="s">
        <v>35</v>
      </c>
      <c r="C71">
        <v>26912</v>
      </c>
    </row>
    <row r="72" spans="1:3" x14ac:dyDescent="0.2">
      <c r="A72" s="17"/>
      <c r="B72" s="15" t="s">
        <v>36</v>
      </c>
      <c r="C72">
        <v>20972</v>
      </c>
    </row>
    <row r="73" spans="1:3" x14ac:dyDescent="0.2">
      <c r="A73" s="17"/>
      <c r="B73" s="15" t="s">
        <v>37</v>
      </c>
      <c r="C73">
        <v>16936</v>
      </c>
    </row>
    <row r="74" spans="1:3" x14ac:dyDescent="0.2">
      <c r="A74" s="17"/>
      <c r="B74" s="15" t="s">
        <v>38</v>
      </c>
      <c r="C74">
        <v>11837</v>
      </c>
    </row>
    <row r="75" spans="1:3" x14ac:dyDescent="0.2">
      <c r="A75" s="17"/>
      <c r="B75" s="15" t="s">
        <v>39</v>
      </c>
      <c r="C75">
        <v>13896</v>
      </c>
    </row>
    <row r="76" spans="1:3" x14ac:dyDescent="0.2">
      <c r="A76" s="17"/>
      <c r="B76" s="15" t="s">
        <v>40</v>
      </c>
      <c r="C76">
        <v>18963</v>
      </c>
    </row>
    <row r="77" spans="1:3" x14ac:dyDescent="0.2">
      <c r="A77" s="17"/>
      <c r="B77" s="15" t="s">
        <v>41</v>
      </c>
      <c r="C77">
        <v>19459</v>
      </c>
    </row>
    <row r="78" spans="1:3" x14ac:dyDescent="0.2">
      <c r="A78" s="17"/>
      <c r="B78" s="15" t="s">
        <v>42</v>
      </c>
      <c r="C78">
        <v>15847</v>
      </c>
    </row>
    <row r="79" spans="1:3" x14ac:dyDescent="0.2">
      <c r="A79" s="24" t="s">
        <v>62</v>
      </c>
      <c r="B79" s="14"/>
      <c r="C79" s="33">
        <v>273760</v>
      </c>
    </row>
    <row r="80" spans="1:3" x14ac:dyDescent="0.2">
      <c r="A80" s="16" t="s">
        <v>6</v>
      </c>
      <c r="B80" s="15" t="s">
        <v>31</v>
      </c>
      <c r="C80">
        <v>36612</v>
      </c>
    </row>
    <row r="81" spans="1:3" x14ac:dyDescent="0.2">
      <c r="A81" s="17"/>
      <c r="B81" s="15" t="s">
        <v>32</v>
      </c>
      <c r="C81">
        <v>28483</v>
      </c>
    </row>
    <row r="82" spans="1:3" x14ac:dyDescent="0.2">
      <c r="A82" s="17"/>
      <c r="B82" s="15" t="s">
        <v>33</v>
      </c>
      <c r="C82">
        <v>31887</v>
      </c>
    </row>
    <row r="83" spans="1:3" x14ac:dyDescent="0.2">
      <c r="A83" s="17"/>
      <c r="B83" s="15" t="s">
        <v>34</v>
      </c>
      <c r="C83">
        <v>43014</v>
      </c>
    </row>
    <row r="84" spans="1:3" x14ac:dyDescent="0.2">
      <c r="A84" s="17"/>
      <c r="B84" s="15" t="s">
        <v>35</v>
      </c>
      <c r="C84">
        <v>29411</v>
      </c>
    </row>
    <row r="85" spans="1:3" x14ac:dyDescent="0.2">
      <c r="A85" s="17"/>
      <c r="B85" s="15" t="s">
        <v>36</v>
      </c>
      <c r="C85">
        <v>25907</v>
      </c>
    </row>
    <row r="86" spans="1:3" x14ac:dyDescent="0.2">
      <c r="A86" s="17"/>
      <c r="B86" s="15" t="s">
        <v>37</v>
      </c>
      <c r="C86">
        <v>14153</v>
      </c>
    </row>
    <row r="87" spans="1:3" x14ac:dyDescent="0.2">
      <c r="A87" s="17"/>
      <c r="B87" s="15" t="s">
        <v>38</v>
      </c>
      <c r="C87">
        <v>10546</v>
      </c>
    </row>
    <row r="88" spans="1:3" x14ac:dyDescent="0.2">
      <c r="A88" s="17"/>
      <c r="B88" s="15" t="s">
        <v>39</v>
      </c>
      <c r="C88">
        <v>10953</v>
      </c>
    </row>
    <row r="89" spans="1:3" x14ac:dyDescent="0.2">
      <c r="A89" s="17"/>
      <c r="B89" s="15" t="s">
        <v>40</v>
      </c>
      <c r="C89">
        <v>15467</v>
      </c>
    </row>
    <row r="90" spans="1:3" x14ac:dyDescent="0.2">
      <c r="A90" s="17"/>
      <c r="B90" s="15" t="s">
        <v>41</v>
      </c>
      <c r="C90">
        <v>14316</v>
      </c>
    </row>
    <row r="91" spans="1:3" x14ac:dyDescent="0.2">
      <c r="A91" s="17"/>
      <c r="B91" s="15" t="s">
        <v>42</v>
      </c>
      <c r="C91">
        <v>15862</v>
      </c>
    </row>
    <row r="92" spans="1:3" x14ac:dyDescent="0.2">
      <c r="A92" s="24" t="s">
        <v>63</v>
      </c>
      <c r="B92" s="14"/>
      <c r="C92" s="33">
        <v>276611</v>
      </c>
    </row>
    <row r="93" spans="1:3" x14ac:dyDescent="0.2">
      <c r="A93" s="16" t="s">
        <v>7</v>
      </c>
      <c r="B93" s="15" t="s">
        <v>31</v>
      </c>
      <c r="C93">
        <v>15578</v>
      </c>
    </row>
    <row r="94" spans="1:3" x14ac:dyDescent="0.2">
      <c r="A94" s="17"/>
      <c r="B94" s="15" t="s">
        <v>32</v>
      </c>
      <c r="C94">
        <v>19737</v>
      </c>
    </row>
    <row r="95" spans="1:3" x14ac:dyDescent="0.2">
      <c r="A95" s="17"/>
      <c r="B95" s="15" t="s">
        <v>33</v>
      </c>
      <c r="C95">
        <v>17759</v>
      </c>
    </row>
    <row r="96" spans="1:3" x14ac:dyDescent="0.2">
      <c r="A96" s="17"/>
      <c r="B96" s="15" t="s">
        <v>34</v>
      </c>
      <c r="C96">
        <v>22827</v>
      </c>
    </row>
    <row r="97" spans="1:3" x14ac:dyDescent="0.2">
      <c r="A97" s="17"/>
      <c r="B97" s="15" t="s">
        <v>35</v>
      </c>
      <c r="C97">
        <v>19662</v>
      </c>
    </row>
    <row r="98" spans="1:3" x14ac:dyDescent="0.2">
      <c r="A98" s="17"/>
      <c r="B98" s="15" t="s">
        <v>36</v>
      </c>
      <c r="C98">
        <v>20840</v>
      </c>
    </row>
    <row r="99" spans="1:3" x14ac:dyDescent="0.2">
      <c r="A99" s="17"/>
      <c r="B99" s="15" t="s">
        <v>37</v>
      </c>
      <c r="C99">
        <v>14842</v>
      </c>
    </row>
    <row r="100" spans="1:3" x14ac:dyDescent="0.2">
      <c r="A100" s="17"/>
      <c r="B100" s="15" t="s">
        <v>38</v>
      </c>
      <c r="C100">
        <v>11917</v>
      </c>
    </row>
    <row r="101" spans="1:3" x14ac:dyDescent="0.2">
      <c r="A101" s="17"/>
      <c r="B101" s="15" t="s">
        <v>39</v>
      </c>
      <c r="C101">
        <v>11254</v>
      </c>
    </row>
    <row r="102" spans="1:3" x14ac:dyDescent="0.2">
      <c r="A102" s="17"/>
      <c r="B102" s="15" t="s">
        <v>40</v>
      </c>
      <c r="C102">
        <v>11505</v>
      </c>
    </row>
    <row r="103" spans="1:3" x14ac:dyDescent="0.2">
      <c r="A103" s="17"/>
      <c r="B103" s="15" t="s">
        <v>41</v>
      </c>
      <c r="C103">
        <v>9281</v>
      </c>
    </row>
    <row r="104" spans="1:3" x14ac:dyDescent="0.2">
      <c r="A104" s="17"/>
      <c r="B104" s="15" t="s">
        <v>42</v>
      </c>
      <c r="C104">
        <v>9700</v>
      </c>
    </row>
    <row r="105" spans="1:3" x14ac:dyDescent="0.2">
      <c r="A105" s="24" t="s">
        <v>64</v>
      </c>
      <c r="B105" s="14"/>
      <c r="C105" s="33">
        <v>184902</v>
      </c>
    </row>
    <row r="106" spans="1:3" x14ac:dyDescent="0.2">
      <c r="A106" s="16" t="s">
        <v>8</v>
      </c>
      <c r="B106" s="15" t="s">
        <v>31</v>
      </c>
      <c r="C106">
        <v>40327</v>
      </c>
    </row>
    <row r="107" spans="1:3" x14ac:dyDescent="0.2">
      <c r="A107" s="17"/>
      <c r="B107" s="15" t="s">
        <v>32</v>
      </c>
      <c r="C107">
        <v>45866</v>
      </c>
    </row>
    <row r="108" spans="1:3" x14ac:dyDescent="0.2">
      <c r="A108" s="17"/>
      <c r="B108" s="15" t="s">
        <v>33</v>
      </c>
      <c r="C108">
        <v>51738</v>
      </c>
    </row>
    <row r="109" spans="1:3" x14ac:dyDescent="0.2">
      <c r="A109" s="17"/>
      <c r="B109" s="15" t="s">
        <v>34</v>
      </c>
      <c r="C109">
        <v>60340</v>
      </c>
    </row>
    <row r="110" spans="1:3" x14ac:dyDescent="0.2">
      <c r="A110" s="17"/>
      <c r="B110" s="15" t="s">
        <v>35</v>
      </c>
      <c r="C110">
        <v>41857</v>
      </c>
    </row>
    <row r="111" spans="1:3" x14ac:dyDescent="0.2">
      <c r="A111" s="17"/>
      <c r="B111" s="15" t="s">
        <v>36</v>
      </c>
      <c r="C111">
        <v>35003</v>
      </c>
    </row>
    <row r="112" spans="1:3" x14ac:dyDescent="0.2">
      <c r="A112" s="17"/>
      <c r="B112" s="15" t="s">
        <v>37</v>
      </c>
      <c r="C112">
        <v>21930</v>
      </c>
    </row>
    <row r="113" spans="1:3" x14ac:dyDescent="0.2">
      <c r="A113" s="17"/>
      <c r="B113" s="15" t="s">
        <v>38</v>
      </c>
      <c r="C113">
        <v>19698</v>
      </c>
    </row>
    <row r="114" spans="1:3" x14ac:dyDescent="0.2">
      <c r="A114" s="17"/>
      <c r="B114" s="15" t="s">
        <v>39</v>
      </c>
      <c r="C114">
        <v>18145</v>
      </c>
    </row>
    <row r="115" spans="1:3" x14ac:dyDescent="0.2">
      <c r="A115" s="17"/>
      <c r="B115" s="15" t="s">
        <v>40</v>
      </c>
      <c r="C115">
        <v>20767</v>
      </c>
    </row>
    <row r="116" spans="1:3" x14ac:dyDescent="0.2">
      <c r="A116" s="17"/>
      <c r="B116" s="15" t="s">
        <v>41</v>
      </c>
      <c r="C116">
        <v>19238</v>
      </c>
    </row>
    <row r="117" spans="1:3" x14ac:dyDescent="0.2">
      <c r="A117" s="17"/>
      <c r="B117" s="15" t="s">
        <v>42</v>
      </c>
      <c r="C117">
        <v>13003</v>
      </c>
    </row>
    <row r="118" spans="1:3" x14ac:dyDescent="0.2">
      <c r="A118" s="24" t="s">
        <v>65</v>
      </c>
      <c r="B118" s="14"/>
      <c r="C118" s="33">
        <v>387912</v>
      </c>
    </row>
    <row r="119" spans="1:3" x14ac:dyDescent="0.2">
      <c r="A119" s="16" t="s">
        <v>9</v>
      </c>
      <c r="B119" s="15" t="s">
        <v>31</v>
      </c>
      <c r="C119">
        <v>528</v>
      </c>
    </row>
    <row r="120" spans="1:3" x14ac:dyDescent="0.2">
      <c r="A120" s="17"/>
      <c r="B120" s="15" t="s">
        <v>32</v>
      </c>
      <c r="C120">
        <v>325</v>
      </c>
    </row>
    <row r="121" spans="1:3" x14ac:dyDescent="0.2">
      <c r="A121" s="17"/>
      <c r="B121" s="15" t="s">
        <v>33</v>
      </c>
      <c r="C121">
        <v>365</v>
      </c>
    </row>
    <row r="122" spans="1:3" x14ac:dyDescent="0.2">
      <c r="A122" s="17"/>
      <c r="B122" s="15" t="s">
        <v>34</v>
      </c>
      <c r="C122">
        <v>533</v>
      </c>
    </row>
    <row r="123" spans="1:3" x14ac:dyDescent="0.2">
      <c r="A123" s="17"/>
      <c r="B123" s="15" t="s">
        <v>35</v>
      </c>
      <c r="C123">
        <v>416</v>
      </c>
    </row>
    <row r="124" spans="1:3" x14ac:dyDescent="0.2">
      <c r="A124" s="17"/>
      <c r="B124" s="15" t="s">
        <v>36</v>
      </c>
      <c r="C124">
        <v>611</v>
      </c>
    </row>
    <row r="125" spans="1:3" x14ac:dyDescent="0.2">
      <c r="A125" s="17"/>
      <c r="B125" s="15" t="s">
        <v>37</v>
      </c>
      <c r="C125">
        <v>663</v>
      </c>
    </row>
    <row r="126" spans="1:3" x14ac:dyDescent="0.2">
      <c r="A126" s="17"/>
      <c r="B126" s="15" t="s">
        <v>38</v>
      </c>
      <c r="C126">
        <v>550</v>
      </c>
    </row>
    <row r="127" spans="1:3" x14ac:dyDescent="0.2">
      <c r="A127" s="17"/>
      <c r="B127" s="15" t="s">
        <v>39</v>
      </c>
      <c r="C127">
        <v>522</v>
      </c>
    </row>
    <row r="128" spans="1:3" x14ac:dyDescent="0.2">
      <c r="A128" s="17"/>
      <c r="B128" s="15" t="s">
        <v>40</v>
      </c>
      <c r="C128">
        <v>448</v>
      </c>
    </row>
    <row r="129" spans="1:3" x14ac:dyDescent="0.2">
      <c r="A129" s="17"/>
      <c r="B129" s="15" t="s">
        <v>41</v>
      </c>
      <c r="C129">
        <v>339</v>
      </c>
    </row>
    <row r="130" spans="1:3" x14ac:dyDescent="0.2">
      <c r="A130" s="17"/>
      <c r="B130" s="15" t="s">
        <v>42</v>
      </c>
      <c r="C130">
        <v>276</v>
      </c>
    </row>
    <row r="131" spans="1:3" x14ac:dyDescent="0.2">
      <c r="A131" s="24" t="s">
        <v>66</v>
      </c>
      <c r="B131" s="14"/>
      <c r="C131" s="33">
        <v>5576</v>
      </c>
    </row>
    <row r="132" spans="1:3" x14ac:dyDescent="0.2">
      <c r="A132" s="16" t="s">
        <v>10</v>
      </c>
      <c r="B132" s="15" t="s">
        <v>31</v>
      </c>
      <c r="C132">
        <v>71561</v>
      </c>
    </row>
    <row r="133" spans="1:3" x14ac:dyDescent="0.2">
      <c r="A133" s="17"/>
      <c r="B133" s="15" t="s">
        <v>32</v>
      </c>
      <c r="C133">
        <v>70543</v>
      </c>
    </row>
    <row r="134" spans="1:3" x14ac:dyDescent="0.2">
      <c r="A134" s="17"/>
      <c r="B134" s="15" t="s">
        <v>33</v>
      </c>
      <c r="C134">
        <v>84135</v>
      </c>
    </row>
    <row r="135" spans="1:3" x14ac:dyDescent="0.2">
      <c r="A135" s="17"/>
      <c r="B135" s="15" t="s">
        <v>34</v>
      </c>
      <c r="C135">
        <v>91833</v>
      </c>
    </row>
    <row r="136" spans="1:3" x14ac:dyDescent="0.2">
      <c r="A136" s="17"/>
      <c r="B136" s="15" t="s">
        <v>35</v>
      </c>
      <c r="C136">
        <v>64999</v>
      </c>
    </row>
    <row r="137" spans="1:3" x14ac:dyDescent="0.2">
      <c r="A137" s="17"/>
      <c r="B137" s="15" t="s">
        <v>36</v>
      </c>
      <c r="C137">
        <v>50465</v>
      </c>
    </row>
    <row r="138" spans="1:3" x14ac:dyDescent="0.2">
      <c r="A138" s="17"/>
      <c r="B138" s="15" t="s">
        <v>37</v>
      </c>
      <c r="C138">
        <v>38115</v>
      </c>
    </row>
    <row r="139" spans="1:3" x14ac:dyDescent="0.2">
      <c r="A139" s="17"/>
      <c r="B139" s="15" t="s">
        <v>38</v>
      </c>
      <c r="C139">
        <v>29447</v>
      </c>
    </row>
    <row r="140" spans="1:3" x14ac:dyDescent="0.2">
      <c r="A140" s="17"/>
      <c r="B140" s="15" t="s">
        <v>39</v>
      </c>
      <c r="C140">
        <v>28253</v>
      </c>
    </row>
    <row r="141" spans="1:3" x14ac:dyDescent="0.2">
      <c r="A141" s="17"/>
      <c r="B141" s="15" t="s">
        <v>40</v>
      </c>
      <c r="C141">
        <v>36099</v>
      </c>
    </row>
    <row r="142" spans="1:3" x14ac:dyDescent="0.2">
      <c r="A142" s="17"/>
      <c r="B142" s="15" t="s">
        <v>41</v>
      </c>
      <c r="C142">
        <v>27884</v>
      </c>
    </row>
    <row r="143" spans="1:3" x14ac:dyDescent="0.2">
      <c r="A143" s="17"/>
      <c r="B143" s="15" t="s">
        <v>42</v>
      </c>
      <c r="C143">
        <v>34763</v>
      </c>
    </row>
    <row r="144" spans="1:3" x14ac:dyDescent="0.2">
      <c r="A144" s="24" t="s">
        <v>67</v>
      </c>
      <c r="B144" s="14"/>
      <c r="C144" s="33">
        <v>628097</v>
      </c>
    </row>
    <row r="145" spans="1:3" x14ac:dyDescent="0.2">
      <c r="A145" s="16" t="s">
        <v>11</v>
      </c>
      <c r="B145" s="15" t="s">
        <v>31</v>
      </c>
      <c r="C145">
        <v>23265</v>
      </c>
    </row>
    <row r="146" spans="1:3" x14ac:dyDescent="0.2">
      <c r="A146" s="17"/>
      <c r="B146" s="15" t="s">
        <v>32</v>
      </c>
      <c r="C146">
        <v>29969</v>
      </c>
    </row>
    <row r="147" spans="1:3" x14ac:dyDescent="0.2">
      <c r="A147" s="17"/>
      <c r="B147" s="15" t="s">
        <v>33</v>
      </c>
      <c r="C147">
        <v>44882</v>
      </c>
    </row>
    <row r="148" spans="1:3" x14ac:dyDescent="0.2">
      <c r="A148" s="17"/>
      <c r="B148" s="15" t="s">
        <v>34</v>
      </c>
      <c r="C148">
        <v>25013</v>
      </c>
    </row>
    <row r="149" spans="1:3" x14ac:dyDescent="0.2">
      <c r="A149" s="17"/>
      <c r="B149" s="15" t="s">
        <v>35</v>
      </c>
      <c r="C149">
        <v>16832</v>
      </c>
    </row>
    <row r="150" spans="1:3" x14ac:dyDescent="0.2">
      <c r="A150" s="17"/>
      <c r="B150" s="15" t="s">
        <v>36</v>
      </c>
      <c r="C150">
        <v>25572</v>
      </c>
    </row>
    <row r="151" spans="1:3" x14ac:dyDescent="0.2">
      <c r="A151" s="17"/>
      <c r="B151" s="15" t="s">
        <v>37</v>
      </c>
      <c r="C151">
        <v>23722</v>
      </c>
    </row>
    <row r="152" spans="1:3" x14ac:dyDescent="0.2">
      <c r="A152" s="17"/>
      <c r="B152" s="15" t="s">
        <v>38</v>
      </c>
      <c r="C152">
        <v>21186</v>
      </c>
    </row>
    <row r="153" spans="1:3" x14ac:dyDescent="0.2">
      <c r="A153" s="17"/>
      <c r="B153" s="15" t="s">
        <v>39</v>
      </c>
      <c r="C153">
        <v>22200</v>
      </c>
    </row>
    <row r="154" spans="1:3" x14ac:dyDescent="0.2">
      <c r="A154" s="17"/>
      <c r="B154" s="15" t="s">
        <v>40</v>
      </c>
      <c r="C154">
        <v>27075</v>
      </c>
    </row>
    <row r="155" spans="1:3" x14ac:dyDescent="0.2">
      <c r="A155" s="17"/>
      <c r="B155" s="15" t="s">
        <v>41</v>
      </c>
      <c r="C155">
        <v>10328</v>
      </c>
    </row>
    <row r="156" spans="1:3" x14ac:dyDescent="0.2">
      <c r="A156" s="17"/>
      <c r="B156" s="15" t="s">
        <v>42</v>
      </c>
      <c r="C156">
        <v>7433</v>
      </c>
    </row>
    <row r="157" spans="1:3" x14ac:dyDescent="0.2">
      <c r="A157" s="24" t="s">
        <v>68</v>
      </c>
      <c r="B157" s="14"/>
      <c r="C157" s="33">
        <v>277477</v>
      </c>
    </row>
    <row r="158" spans="1:3" x14ac:dyDescent="0.2">
      <c r="A158" s="16" t="s">
        <v>12</v>
      </c>
      <c r="B158" s="15" t="s">
        <v>31</v>
      </c>
      <c r="C158">
        <v>29475</v>
      </c>
    </row>
    <row r="159" spans="1:3" x14ac:dyDescent="0.2">
      <c r="A159" s="17"/>
      <c r="B159" s="15" t="s">
        <v>32</v>
      </c>
      <c r="C159">
        <v>33669</v>
      </c>
    </row>
    <row r="160" spans="1:3" x14ac:dyDescent="0.2">
      <c r="A160" s="17"/>
      <c r="B160" s="15" t="s">
        <v>33</v>
      </c>
      <c r="C160">
        <v>31342</v>
      </c>
    </row>
    <row r="161" spans="1:3" x14ac:dyDescent="0.2">
      <c r="A161" s="17"/>
      <c r="B161" s="15" t="s">
        <v>34</v>
      </c>
      <c r="C161">
        <v>43080</v>
      </c>
    </row>
    <row r="162" spans="1:3" x14ac:dyDescent="0.2">
      <c r="A162" s="17"/>
      <c r="B162" s="15" t="s">
        <v>35</v>
      </c>
      <c r="C162">
        <v>34474</v>
      </c>
    </row>
    <row r="163" spans="1:3" x14ac:dyDescent="0.2">
      <c r="A163" s="17"/>
      <c r="B163" s="15" t="s">
        <v>36</v>
      </c>
      <c r="C163">
        <v>28575</v>
      </c>
    </row>
    <row r="164" spans="1:3" x14ac:dyDescent="0.2">
      <c r="A164" s="17"/>
      <c r="B164" s="15" t="s">
        <v>37</v>
      </c>
      <c r="C164">
        <v>27727</v>
      </c>
    </row>
    <row r="165" spans="1:3" x14ac:dyDescent="0.2">
      <c r="A165" s="17"/>
      <c r="B165" s="15" t="s">
        <v>38</v>
      </c>
      <c r="C165">
        <v>23219</v>
      </c>
    </row>
    <row r="166" spans="1:3" x14ac:dyDescent="0.2">
      <c r="A166" s="17"/>
      <c r="B166" s="15" t="s">
        <v>39</v>
      </c>
      <c r="C166">
        <v>26571</v>
      </c>
    </row>
    <row r="167" spans="1:3" x14ac:dyDescent="0.2">
      <c r="A167" s="17"/>
      <c r="B167" s="15" t="s">
        <v>40</v>
      </c>
      <c r="C167">
        <v>22952</v>
      </c>
    </row>
    <row r="168" spans="1:3" x14ac:dyDescent="0.2">
      <c r="A168" s="17"/>
      <c r="B168" s="15" t="s">
        <v>41</v>
      </c>
      <c r="C168">
        <v>18245</v>
      </c>
    </row>
    <row r="169" spans="1:3" x14ac:dyDescent="0.2">
      <c r="A169" s="17"/>
      <c r="B169" s="15" t="s">
        <v>42</v>
      </c>
      <c r="C169">
        <v>19402</v>
      </c>
    </row>
    <row r="170" spans="1:3" x14ac:dyDescent="0.2">
      <c r="A170" s="24" t="s">
        <v>69</v>
      </c>
      <c r="B170" s="14"/>
      <c r="C170" s="33">
        <v>338731</v>
      </c>
    </row>
    <row r="171" spans="1:3" x14ac:dyDescent="0.2">
      <c r="A171" s="16" t="s">
        <v>13</v>
      </c>
      <c r="B171" s="15" t="s">
        <v>31</v>
      </c>
      <c r="C171">
        <v>18788</v>
      </c>
    </row>
    <row r="172" spans="1:3" x14ac:dyDescent="0.2">
      <c r="A172" s="17"/>
      <c r="B172" s="15" t="s">
        <v>32</v>
      </c>
      <c r="C172">
        <v>21162</v>
      </c>
    </row>
    <row r="173" spans="1:3" x14ac:dyDescent="0.2">
      <c r="A173" s="17"/>
      <c r="B173" s="15" t="s">
        <v>33</v>
      </c>
      <c r="C173">
        <v>22596</v>
      </c>
    </row>
    <row r="174" spans="1:3" x14ac:dyDescent="0.2">
      <c r="A174" s="17"/>
      <c r="B174" s="15" t="s">
        <v>34</v>
      </c>
      <c r="C174">
        <v>24877</v>
      </c>
    </row>
    <row r="175" spans="1:3" x14ac:dyDescent="0.2">
      <c r="A175" s="17"/>
      <c r="B175" s="15" t="s">
        <v>35</v>
      </c>
      <c r="C175">
        <v>23473</v>
      </c>
    </row>
    <row r="176" spans="1:3" x14ac:dyDescent="0.2">
      <c r="A176" s="17"/>
      <c r="B176" s="15" t="s">
        <v>36</v>
      </c>
      <c r="C176">
        <v>21832</v>
      </c>
    </row>
    <row r="177" spans="1:3" x14ac:dyDescent="0.2">
      <c r="A177" s="17"/>
      <c r="B177" s="15" t="s">
        <v>37</v>
      </c>
      <c r="C177">
        <v>13006</v>
      </c>
    </row>
    <row r="178" spans="1:3" x14ac:dyDescent="0.2">
      <c r="A178" s="17"/>
      <c r="B178" s="15" t="s">
        <v>38</v>
      </c>
      <c r="C178">
        <v>9327</v>
      </c>
    </row>
    <row r="179" spans="1:3" x14ac:dyDescent="0.2">
      <c r="A179" s="17"/>
      <c r="B179" s="15" t="s">
        <v>39</v>
      </c>
      <c r="C179">
        <v>9249</v>
      </c>
    </row>
    <row r="180" spans="1:3" x14ac:dyDescent="0.2">
      <c r="A180" s="17"/>
      <c r="B180" s="15" t="s">
        <v>40</v>
      </c>
      <c r="C180">
        <v>9726</v>
      </c>
    </row>
    <row r="181" spans="1:3" x14ac:dyDescent="0.2">
      <c r="A181" s="17"/>
      <c r="B181" s="15" t="s">
        <v>41</v>
      </c>
      <c r="C181">
        <v>8702</v>
      </c>
    </row>
    <row r="182" spans="1:3" x14ac:dyDescent="0.2">
      <c r="A182" s="17"/>
      <c r="B182" s="15" t="s">
        <v>42</v>
      </c>
      <c r="C182">
        <v>7241</v>
      </c>
    </row>
    <row r="183" spans="1:3" x14ac:dyDescent="0.2">
      <c r="A183" s="24" t="s">
        <v>70</v>
      </c>
      <c r="B183" s="14"/>
      <c r="C183" s="33">
        <v>189979</v>
      </c>
    </row>
    <row r="184" spans="1:3" x14ac:dyDescent="0.2">
      <c r="A184" s="16" t="s">
        <v>14</v>
      </c>
      <c r="B184" s="15" t="s">
        <v>31</v>
      </c>
      <c r="C184">
        <v>36746</v>
      </c>
    </row>
    <row r="185" spans="1:3" x14ac:dyDescent="0.2">
      <c r="A185" s="17"/>
      <c r="B185" s="15" t="s">
        <v>32</v>
      </c>
      <c r="C185">
        <v>23654</v>
      </c>
    </row>
    <row r="186" spans="1:3" x14ac:dyDescent="0.2">
      <c r="A186" s="17"/>
      <c r="B186" s="15" t="s">
        <v>33</v>
      </c>
      <c r="C186">
        <v>26017</v>
      </c>
    </row>
    <row r="187" spans="1:3" x14ac:dyDescent="0.2">
      <c r="A187" s="17"/>
      <c r="B187" s="15" t="s">
        <v>34</v>
      </c>
      <c r="C187">
        <v>28626</v>
      </c>
    </row>
    <row r="188" spans="1:3" x14ac:dyDescent="0.2">
      <c r="A188" s="17"/>
      <c r="B188" s="15" t="s">
        <v>35</v>
      </c>
      <c r="C188">
        <v>24986</v>
      </c>
    </row>
    <row r="189" spans="1:3" x14ac:dyDescent="0.2">
      <c r="A189" s="17"/>
      <c r="B189" s="15" t="s">
        <v>36</v>
      </c>
      <c r="C189">
        <v>21984</v>
      </c>
    </row>
    <row r="190" spans="1:3" x14ac:dyDescent="0.2">
      <c r="A190" s="17"/>
      <c r="B190" s="15" t="s">
        <v>37</v>
      </c>
      <c r="C190">
        <v>14613</v>
      </c>
    </row>
    <row r="191" spans="1:3" x14ac:dyDescent="0.2">
      <c r="A191" s="17"/>
      <c r="B191" s="15" t="s">
        <v>38</v>
      </c>
      <c r="C191">
        <v>15325</v>
      </c>
    </row>
    <row r="192" spans="1:3" x14ac:dyDescent="0.2">
      <c r="A192" s="17"/>
      <c r="B192" s="15" t="s">
        <v>39</v>
      </c>
      <c r="C192">
        <v>18664</v>
      </c>
    </row>
    <row r="193" spans="1:3" x14ac:dyDescent="0.2">
      <c r="A193" s="17"/>
      <c r="B193" s="15" t="s">
        <v>40</v>
      </c>
      <c r="C193">
        <v>18987</v>
      </c>
    </row>
    <row r="194" spans="1:3" x14ac:dyDescent="0.2">
      <c r="A194" s="17"/>
      <c r="B194" s="15" t="s">
        <v>41</v>
      </c>
      <c r="C194">
        <v>18863</v>
      </c>
    </row>
    <row r="195" spans="1:3" x14ac:dyDescent="0.2">
      <c r="A195" s="17"/>
      <c r="B195" s="15" t="s">
        <v>42</v>
      </c>
      <c r="C195">
        <v>19973</v>
      </c>
    </row>
    <row r="196" spans="1:3" x14ac:dyDescent="0.2">
      <c r="A196" s="24" t="s">
        <v>71</v>
      </c>
      <c r="B196" s="14"/>
      <c r="C196" s="33">
        <v>268438</v>
      </c>
    </row>
    <row r="197" spans="1:3" x14ac:dyDescent="0.2">
      <c r="A197" s="16" t="s">
        <v>15</v>
      </c>
      <c r="B197" s="15" t="s">
        <v>31</v>
      </c>
      <c r="C197">
        <v>11044</v>
      </c>
    </row>
    <row r="198" spans="1:3" x14ac:dyDescent="0.2">
      <c r="A198" s="17"/>
      <c r="B198" s="15" t="s">
        <v>32</v>
      </c>
      <c r="C198">
        <v>9255</v>
      </c>
    </row>
    <row r="199" spans="1:3" x14ac:dyDescent="0.2">
      <c r="A199" s="17"/>
      <c r="B199" s="15" t="s">
        <v>33</v>
      </c>
      <c r="C199">
        <v>10679</v>
      </c>
    </row>
    <row r="200" spans="1:3" x14ac:dyDescent="0.2">
      <c r="A200" s="17"/>
      <c r="B200" s="15" t="s">
        <v>34</v>
      </c>
      <c r="C200">
        <v>11270</v>
      </c>
    </row>
    <row r="201" spans="1:3" x14ac:dyDescent="0.2">
      <c r="A201" s="17"/>
      <c r="B201" s="15" t="s">
        <v>35</v>
      </c>
      <c r="C201">
        <v>7737</v>
      </c>
    </row>
    <row r="202" spans="1:3" x14ac:dyDescent="0.2">
      <c r="A202" s="17"/>
      <c r="B202" s="15" t="s">
        <v>36</v>
      </c>
      <c r="C202">
        <v>7865</v>
      </c>
    </row>
    <row r="203" spans="1:3" x14ac:dyDescent="0.2">
      <c r="A203" s="17"/>
      <c r="B203" s="15" t="s">
        <v>37</v>
      </c>
      <c r="C203">
        <v>7089</v>
      </c>
    </row>
    <row r="204" spans="1:3" x14ac:dyDescent="0.2">
      <c r="A204" s="17"/>
      <c r="B204" s="15" t="s">
        <v>38</v>
      </c>
      <c r="C204">
        <v>6013</v>
      </c>
    </row>
    <row r="205" spans="1:3" x14ac:dyDescent="0.2">
      <c r="A205" s="17"/>
      <c r="B205" s="15" t="s">
        <v>39</v>
      </c>
      <c r="C205">
        <v>6085</v>
      </c>
    </row>
    <row r="206" spans="1:3" x14ac:dyDescent="0.2">
      <c r="A206" s="17"/>
      <c r="B206" s="15" t="s">
        <v>40</v>
      </c>
      <c r="C206">
        <v>6560</v>
      </c>
    </row>
    <row r="207" spans="1:3" x14ac:dyDescent="0.2">
      <c r="A207" s="17"/>
      <c r="B207" s="15" t="s">
        <v>41</v>
      </c>
      <c r="C207">
        <v>5144</v>
      </c>
    </row>
    <row r="208" spans="1:3" x14ac:dyDescent="0.2">
      <c r="A208" s="17"/>
      <c r="B208" s="15" t="s">
        <v>42</v>
      </c>
      <c r="C208">
        <v>4851</v>
      </c>
    </row>
    <row r="209" spans="1:3" x14ac:dyDescent="0.2">
      <c r="A209" s="24" t="s">
        <v>72</v>
      </c>
      <c r="B209" s="14"/>
      <c r="C209" s="33">
        <v>93592</v>
      </c>
    </row>
    <row r="210" spans="1:3" x14ac:dyDescent="0.2">
      <c r="A210" s="16" t="s">
        <v>16</v>
      </c>
      <c r="B210" s="15" t="s">
        <v>31</v>
      </c>
      <c r="C210">
        <v>14031</v>
      </c>
    </row>
    <row r="211" spans="1:3" x14ac:dyDescent="0.2">
      <c r="A211" s="17"/>
      <c r="B211" s="15" t="s">
        <v>32</v>
      </c>
      <c r="C211">
        <v>16336</v>
      </c>
    </row>
    <row r="212" spans="1:3" x14ac:dyDescent="0.2">
      <c r="A212" s="17"/>
      <c r="B212" s="15" t="s">
        <v>33</v>
      </c>
      <c r="C212">
        <v>21932</v>
      </c>
    </row>
    <row r="213" spans="1:3" x14ac:dyDescent="0.2">
      <c r="A213" s="17"/>
      <c r="B213" s="15" t="s">
        <v>34</v>
      </c>
      <c r="C213">
        <v>26067</v>
      </c>
    </row>
    <row r="214" spans="1:3" x14ac:dyDescent="0.2">
      <c r="A214" s="17"/>
      <c r="B214" s="15" t="s">
        <v>35</v>
      </c>
      <c r="C214">
        <v>21524</v>
      </c>
    </row>
    <row r="215" spans="1:3" x14ac:dyDescent="0.2">
      <c r="A215" s="17"/>
      <c r="B215" s="15" t="s">
        <v>36</v>
      </c>
      <c r="C215">
        <v>17816</v>
      </c>
    </row>
    <row r="216" spans="1:3" x14ac:dyDescent="0.2">
      <c r="A216" s="17"/>
      <c r="B216" s="15" t="s">
        <v>37</v>
      </c>
      <c r="C216">
        <v>9787</v>
      </c>
    </row>
    <row r="217" spans="1:3" x14ac:dyDescent="0.2">
      <c r="A217" s="17"/>
      <c r="B217" s="15" t="s">
        <v>38</v>
      </c>
      <c r="C217">
        <v>6242</v>
      </c>
    </row>
    <row r="218" spans="1:3" x14ac:dyDescent="0.2">
      <c r="A218" s="17"/>
      <c r="B218" s="15" t="s">
        <v>39</v>
      </c>
      <c r="C218">
        <v>5450</v>
      </c>
    </row>
    <row r="219" spans="1:3" x14ac:dyDescent="0.2">
      <c r="A219" s="17"/>
      <c r="B219" s="15" t="s">
        <v>40</v>
      </c>
      <c r="C219">
        <v>6643</v>
      </c>
    </row>
    <row r="220" spans="1:3" x14ac:dyDescent="0.2">
      <c r="A220" s="17"/>
      <c r="B220" s="15" t="s">
        <v>41</v>
      </c>
      <c r="C220">
        <v>7274</v>
      </c>
    </row>
    <row r="221" spans="1:3" x14ac:dyDescent="0.2">
      <c r="A221" s="17"/>
      <c r="B221" s="15" t="s">
        <v>42</v>
      </c>
      <c r="C221">
        <v>16610</v>
      </c>
    </row>
    <row r="222" spans="1:3" x14ac:dyDescent="0.2">
      <c r="A222" s="24" t="s">
        <v>73</v>
      </c>
      <c r="B222" s="14"/>
      <c r="C222" s="33">
        <v>169712</v>
      </c>
    </row>
    <row r="223" spans="1:3" x14ac:dyDescent="0.2">
      <c r="A223" s="16" t="s">
        <v>17</v>
      </c>
      <c r="B223" s="15" t="s">
        <v>31</v>
      </c>
      <c r="C223">
        <v>19057</v>
      </c>
    </row>
    <row r="224" spans="1:3" x14ac:dyDescent="0.2">
      <c r="A224" s="17"/>
      <c r="B224" s="15" t="s">
        <v>32</v>
      </c>
      <c r="C224">
        <v>19201</v>
      </c>
    </row>
    <row r="225" spans="1:3" x14ac:dyDescent="0.2">
      <c r="A225" s="17"/>
      <c r="B225" s="15" t="s">
        <v>33</v>
      </c>
      <c r="C225">
        <v>24707</v>
      </c>
    </row>
    <row r="226" spans="1:3" x14ac:dyDescent="0.2">
      <c r="A226" s="17"/>
      <c r="B226" s="15" t="s">
        <v>34</v>
      </c>
      <c r="C226">
        <v>31308</v>
      </c>
    </row>
    <row r="227" spans="1:3" x14ac:dyDescent="0.2">
      <c r="A227" s="17"/>
      <c r="B227" s="15" t="s">
        <v>35</v>
      </c>
      <c r="C227">
        <v>30001</v>
      </c>
    </row>
    <row r="228" spans="1:3" x14ac:dyDescent="0.2">
      <c r="A228" s="17"/>
      <c r="B228" s="15" t="s">
        <v>36</v>
      </c>
      <c r="C228">
        <v>20528</v>
      </c>
    </row>
    <row r="229" spans="1:3" x14ac:dyDescent="0.2">
      <c r="A229" s="17"/>
      <c r="B229" s="15" t="s">
        <v>37</v>
      </c>
      <c r="C229">
        <v>15304</v>
      </c>
    </row>
    <row r="230" spans="1:3" x14ac:dyDescent="0.2">
      <c r="A230" s="17"/>
      <c r="B230" s="15" t="s">
        <v>38</v>
      </c>
      <c r="C230">
        <v>10941</v>
      </c>
    </row>
    <row r="231" spans="1:3" x14ac:dyDescent="0.2">
      <c r="A231" s="17"/>
      <c r="B231" s="15" t="s">
        <v>39</v>
      </c>
      <c r="C231">
        <v>12067</v>
      </c>
    </row>
    <row r="232" spans="1:3" x14ac:dyDescent="0.2">
      <c r="A232" s="17"/>
      <c r="B232" s="15" t="s">
        <v>40</v>
      </c>
      <c r="C232">
        <v>10719</v>
      </c>
    </row>
    <row r="233" spans="1:3" x14ac:dyDescent="0.2">
      <c r="A233" s="17"/>
      <c r="B233" s="15" t="s">
        <v>41</v>
      </c>
      <c r="C233">
        <v>10536</v>
      </c>
    </row>
    <row r="234" spans="1:3" x14ac:dyDescent="0.2">
      <c r="A234" s="17"/>
      <c r="B234" s="15" t="s">
        <v>42</v>
      </c>
      <c r="C234">
        <v>13485</v>
      </c>
    </row>
    <row r="235" spans="1:3" x14ac:dyDescent="0.2">
      <c r="A235" s="24" t="s">
        <v>74</v>
      </c>
      <c r="B235" s="14"/>
      <c r="C235" s="33">
        <v>217854</v>
      </c>
    </row>
    <row r="236" spans="1:3" x14ac:dyDescent="0.2">
      <c r="A236" s="16" t="s">
        <v>18</v>
      </c>
      <c r="B236" s="15" t="s">
        <v>31</v>
      </c>
      <c r="C236">
        <v>11125</v>
      </c>
    </row>
    <row r="237" spans="1:3" x14ac:dyDescent="0.2">
      <c r="A237" s="17"/>
      <c r="B237" s="15" t="s">
        <v>32</v>
      </c>
      <c r="C237">
        <v>8028</v>
      </c>
    </row>
    <row r="238" spans="1:3" x14ac:dyDescent="0.2">
      <c r="A238" s="17"/>
      <c r="B238" s="15" t="s">
        <v>33</v>
      </c>
      <c r="C238">
        <v>8360</v>
      </c>
    </row>
    <row r="239" spans="1:3" x14ac:dyDescent="0.2">
      <c r="A239" s="17"/>
      <c r="B239" s="15" t="s">
        <v>34</v>
      </c>
      <c r="C239">
        <v>13024</v>
      </c>
    </row>
    <row r="240" spans="1:3" x14ac:dyDescent="0.2">
      <c r="A240" s="17"/>
      <c r="B240" s="15" t="s">
        <v>35</v>
      </c>
      <c r="C240">
        <v>8998</v>
      </c>
    </row>
    <row r="241" spans="1:3" x14ac:dyDescent="0.2">
      <c r="A241" s="17"/>
      <c r="B241" s="15" t="s">
        <v>36</v>
      </c>
      <c r="C241">
        <v>7330</v>
      </c>
    </row>
    <row r="242" spans="1:3" x14ac:dyDescent="0.2">
      <c r="A242" s="17"/>
      <c r="B242" s="15" t="s">
        <v>37</v>
      </c>
      <c r="C242">
        <v>7309</v>
      </c>
    </row>
    <row r="243" spans="1:3" x14ac:dyDescent="0.2">
      <c r="A243" s="17"/>
      <c r="B243" s="15" t="s">
        <v>38</v>
      </c>
      <c r="C243">
        <v>6554</v>
      </c>
    </row>
    <row r="244" spans="1:3" x14ac:dyDescent="0.2">
      <c r="A244" s="17"/>
      <c r="B244" s="15" t="s">
        <v>39</v>
      </c>
      <c r="C244">
        <v>7958</v>
      </c>
    </row>
    <row r="245" spans="1:3" x14ac:dyDescent="0.2">
      <c r="A245" s="17"/>
      <c r="B245" s="15" t="s">
        <v>40</v>
      </c>
      <c r="C245">
        <v>8803</v>
      </c>
    </row>
    <row r="246" spans="1:3" x14ac:dyDescent="0.2">
      <c r="A246" s="17"/>
      <c r="B246" s="15" t="s">
        <v>41</v>
      </c>
      <c r="C246">
        <v>7340</v>
      </c>
    </row>
    <row r="247" spans="1:3" x14ac:dyDescent="0.2">
      <c r="A247" s="17"/>
      <c r="B247" s="15" t="s">
        <v>42</v>
      </c>
      <c r="C247">
        <v>8180</v>
      </c>
    </row>
    <row r="248" spans="1:3" x14ac:dyDescent="0.2">
      <c r="A248" s="24" t="s">
        <v>75</v>
      </c>
      <c r="B248" s="14"/>
      <c r="C248" s="33">
        <v>103009</v>
      </c>
    </row>
    <row r="249" spans="1:3" x14ac:dyDescent="0.2">
      <c r="A249" s="16" t="s">
        <v>19</v>
      </c>
      <c r="B249" s="15" t="s">
        <v>31</v>
      </c>
      <c r="C249">
        <v>25237</v>
      </c>
    </row>
    <row r="250" spans="1:3" x14ac:dyDescent="0.2">
      <c r="A250" s="17"/>
      <c r="B250" s="15" t="s">
        <v>32</v>
      </c>
      <c r="C250">
        <v>18666</v>
      </c>
    </row>
    <row r="251" spans="1:3" x14ac:dyDescent="0.2">
      <c r="A251" s="17"/>
      <c r="B251" s="15" t="s">
        <v>33</v>
      </c>
      <c r="C251">
        <v>24082</v>
      </c>
    </row>
    <row r="252" spans="1:3" x14ac:dyDescent="0.2">
      <c r="A252" s="17"/>
      <c r="B252" s="15" t="s">
        <v>34</v>
      </c>
      <c r="C252">
        <v>22374</v>
      </c>
    </row>
    <row r="253" spans="1:3" x14ac:dyDescent="0.2">
      <c r="A253" s="17"/>
      <c r="B253" s="15" t="s">
        <v>35</v>
      </c>
      <c r="C253">
        <v>19783</v>
      </c>
    </row>
    <row r="254" spans="1:3" x14ac:dyDescent="0.2">
      <c r="A254" s="17"/>
      <c r="B254" s="15" t="s">
        <v>36</v>
      </c>
      <c r="C254">
        <v>17667</v>
      </c>
    </row>
    <row r="255" spans="1:3" x14ac:dyDescent="0.2">
      <c r="A255" s="17"/>
      <c r="B255" s="15" t="s">
        <v>37</v>
      </c>
      <c r="C255">
        <v>15084</v>
      </c>
    </row>
    <row r="256" spans="1:3" x14ac:dyDescent="0.2">
      <c r="A256" s="17"/>
      <c r="B256" s="15" t="s">
        <v>38</v>
      </c>
      <c r="C256">
        <v>16567</v>
      </c>
    </row>
    <row r="257" spans="1:3" x14ac:dyDescent="0.2">
      <c r="A257" s="17"/>
      <c r="B257" s="15" t="s">
        <v>39</v>
      </c>
      <c r="C257">
        <v>16808</v>
      </c>
    </row>
    <row r="258" spans="1:3" x14ac:dyDescent="0.2">
      <c r="A258" s="17"/>
      <c r="B258" s="15" t="s">
        <v>40</v>
      </c>
      <c r="C258">
        <v>18831</v>
      </c>
    </row>
    <row r="259" spans="1:3" x14ac:dyDescent="0.2">
      <c r="A259" s="17"/>
      <c r="B259" s="15" t="s">
        <v>41</v>
      </c>
      <c r="C259">
        <v>19327</v>
      </c>
    </row>
    <row r="260" spans="1:3" x14ac:dyDescent="0.2">
      <c r="A260" s="17"/>
      <c r="B260" s="15" t="s">
        <v>42</v>
      </c>
      <c r="C260">
        <v>18041</v>
      </c>
    </row>
    <row r="261" spans="1:3" x14ac:dyDescent="0.2">
      <c r="A261" s="24" t="s">
        <v>76</v>
      </c>
      <c r="B261" s="14"/>
      <c r="C261" s="33">
        <v>232467</v>
      </c>
    </row>
    <row r="262" spans="1:3" x14ac:dyDescent="0.2">
      <c r="A262" s="16" t="s">
        <v>20</v>
      </c>
      <c r="B262" s="15" t="s">
        <v>31</v>
      </c>
      <c r="C262">
        <v>24192</v>
      </c>
    </row>
    <row r="263" spans="1:3" x14ac:dyDescent="0.2">
      <c r="A263" s="17"/>
      <c r="B263" s="15" t="s">
        <v>32</v>
      </c>
      <c r="C263">
        <v>29272</v>
      </c>
    </row>
    <row r="264" spans="1:3" x14ac:dyDescent="0.2">
      <c r="A264" s="17"/>
      <c r="B264" s="15" t="s">
        <v>33</v>
      </c>
      <c r="C264">
        <v>29425</v>
      </c>
    </row>
    <row r="265" spans="1:3" x14ac:dyDescent="0.2">
      <c r="A265" s="17"/>
      <c r="B265" s="15" t="s">
        <v>34</v>
      </c>
      <c r="C265">
        <v>28142</v>
      </c>
    </row>
    <row r="266" spans="1:3" x14ac:dyDescent="0.2">
      <c r="A266" s="17"/>
      <c r="B266" s="15" t="s">
        <v>35</v>
      </c>
      <c r="C266">
        <v>28389</v>
      </c>
    </row>
    <row r="267" spans="1:3" x14ac:dyDescent="0.2">
      <c r="A267" s="17"/>
      <c r="B267" s="15" t="s">
        <v>36</v>
      </c>
      <c r="C267">
        <v>27072</v>
      </c>
    </row>
    <row r="268" spans="1:3" x14ac:dyDescent="0.2">
      <c r="A268" s="17"/>
      <c r="B268" s="15" t="s">
        <v>37</v>
      </c>
      <c r="C268">
        <v>23679</v>
      </c>
    </row>
    <row r="269" spans="1:3" x14ac:dyDescent="0.2">
      <c r="A269" s="17"/>
      <c r="B269" s="15" t="s">
        <v>38</v>
      </c>
      <c r="C269">
        <v>24912</v>
      </c>
    </row>
    <row r="270" spans="1:3" x14ac:dyDescent="0.2">
      <c r="A270" s="17"/>
      <c r="B270" s="15" t="s">
        <v>39</v>
      </c>
      <c r="C270">
        <v>18487</v>
      </c>
    </row>
    <row r="271" spans="1:3" x14ac:dyDescent="0.2">
      <c r="A271" s="17"/>
      <c r="B271" s="15" t="s">
        <v>40</v>
      </c>
      <c r="C271">
        <v>27605</v>
      </c>
    </row>
    <row r="272" spans="1:3" x14ac:dyDescent="0.2">
      <c r="A272" s="17"/>
      <c r="B272" s="15" t="s">
        <v>41</v>
      </c>
      <c r="C272">
        <v>20723</v>
      </c>
    </row>
    <row r="273" spans="1:3" x14ac:dyDescent="0.2">
      <c r="A273" s="17"/>
      <c r="B273" s="15" t="s">
        <v>42</v>
      </c>
      <c r="C273">
        <v>14780</v>
      </c>
    </row>
    <row r="274" spans="1:3" x14ac:dyDescent="0.2">
      <c r="A274" s="24" t="s">
        <v>77</v>
      </c>
      <c r="B274" s="14"/>
      <c r="C274" s="33">
        <v>296678</v>
      </c>
    </row>
    <row r="275" spans="1:3" x14ac:dyDescent="0.2">
      <c r="A275" s="16" t="s">
        <v>21</v>
      </c>
      <c r="B275" s="15" t="s">
        <v>31</v>
      </c>
      <c r="C275">
        <v>14313</v>
      </c>
    </row>
    <row r="276" spans="1:3" x14ac:dyDescent="0.2">
      <c r="A276" s="17"/>
      <c r="B276" s="15" t="s">
        <v>32</v>
      </c>
      <c r="C276">
        <v>15390</v>
      </c>
    </row>
    <row r="277" spans="1:3" x14ac:dyDescent="0.2">
      <c r="A277" s="17"/>
      <c r="B277" s="15" t="s">
        <v>33</v>
      </c>
      <c r="C277">
        <v>18375</v>
      </c>
    </row>
    <row r="278" spans="1:3" x14ac:dyDescent="0.2">
      <c r="A278" s="17"/>
      <c r="B278" s="15" t="s">
        <v>34</v>
      </c>
      <c r="C278">
        <v>15579</v>
      </c>
    </row>
    <row r="279" spans="1:3" x14ac:dyDescent="0.2">
      <c r="A279" s="17"/>
      <c r="B279" s="15" t="s">
        <v>35</v>
      </c>
      <c r="C279">
        <v>16294</v>
      </c>
    </row>
    <row r="280" spans="1:3" x14ac:dyDescent="0.2">
      <c r="A280" s="17"/>
      <c r="B280" s="15" t="s">
        <v>36</v>
      </c>
      <c r="C280">
        <v>12982</v>
      </c>
    </row>
    <row r="281" spans="1:3" x14ac:dyDescent="0.2">
      <c r="A281" s="17"/>
      <c r="B281" s="15" t="s">
        <v>37</v>
      </c>
      <c r="C281">
        <v>9775</v>
      </c>
    </row>
    <row r="282" spans="1:3" x14ac:dyDescent="0.2">
      <c r="A282" s="17"/>
      <c r="B282" s="15" t="s">
        <v>38</v>
      </c>
      <c r="C282">
        <v>7817</v>
      </c>
    </row>
    <row r="283" spans="1:3" x14ac:dyDescent="0.2">
      <c r="A283" s="17"/>
      <c r="B283" s="15" t="s">
        <v>39</v>
      </c>
      <c r="C283">
        <v>12516</v>
      </c>
    </row>
    <row r="284" spans="1:3" x14ac:dyDescent="0.2">
      <c r="A284" s="17"/>
      <c r="B284" s="15" t="s">
        <v>40</v>
      </c>
      <c r="C284">
        <v>7703</v>
      </c>
    </row>
    <row r="285" spans="1:3" x14ac:dyDescent="0.2">
      <c r="A285" s="17"/>
      <c r="B285" s="15" t="s">
        <v>41</v>
      </c>
      <c r="C285">
        <v>5288</v>
      </c>
    </row>
    <row r="286" spans="1:3" x14ac:dyDescent="0.2">
      <c r="A286" s="17"/>
      <c r="B286" s="15" t="s">
        <v>42</v>
      </c>
      <c r="C286">
        <v>3212</v>
      </c>
    </row>
    <row r="287" spans="1:3" x14ac:dyDescent="0.2">
      <c r="A287" s="24" t="s">
        <v>78</v>
      </c>
      <c r="B287" s="14"/>
      <c r="C287" s="33">
        <v>139244</v>
      </c>
    </row>
    <row r="288" spans="1:3" x14ac:dyDescent="0.2">
      <c r="A288" s="16" t="s">
        <v>22</v>
      </c>
      <c r="B288" s="15" t="s">
        <v>31</v>
      </c>
      <c r="C288">
        <v>36257</v>
      </c>
    </row>
    <row r="289" spans="1:3" x14ac:dyDescent="0.2">
      <c r="A289" s="17"/>
      <c r="B289" s="15" t="s">
        <v>32</v>
      </c>
      <c r="C289">
        <v>30392</v>
      </c>
    </row>
    <row r="290" spans="1:3" x14ac:dyDescent="0.2">
      <c r="A290" s="17"/>
      <c r="B290" s="15" t="s">
        <v>33</v>
      </c>
      <c r="C290">
        <v>34978</v>
      </c>
    </row>
    <row r="291" spans="1:3" x14ac:dyDescent="0.2">
      <c r="A291" s="17"/>
      <c r="B291" s="15" t="s">
        <v>34</v>
      </c>
      <c r="C291">
        <v>44121</v>
      </c>
    </row>
    <row r="292" spans="1:3" x14ac:dyDescent="0.2">
      <c r="A292" s="17"/>
      <c r="B292" s="15" t="s">
        <v>35</v>
      </c>
      <c r="C292">
        <v>28281</v>
      </c>
    </row>
    <row r="293" spans="1:3" x14ac:dyDescent="0.2">
      <c r="A293" s="17"/>
      <c r="B293" s="15" t="s">
        <v>36</v>
      </c>
      <c r="C293">
        <v>28554</v>
      </c>
    </row>
    <row r="294" spans="1:3" x14ac:dyDescent="0.2">
      <c r="A294" s="17"/>
      <c r="B294" s="15" t="s">
        <v>37</v>
      </c>
      <c r="C294">
        <v>15567</v>
      </c>
    </row>
    <row r="295" spans="1:3" x14ac:dyDescent="0.2">
      <c r="A295" s="17"/>
      <c r="B295" s="15" t="s">
        <v>38</v>
      </c>
      <c r="C295">
        <v>13322</v>
      </c>
    </row>
    <row r="296" spans="1:3" x14ac:dyDescent="0.2">
      <c r="A296" s="17"/>
      <c r="B296" s="15" t="s">
        <v>39</v>
      </c>
      <c r="C296">
        <v>16899</v>
      </c>
    </row>
    <row r="297" spans="1:3" x14ac:dyDescent="0.2">
      <c r="A297" s="17"/>
      <c r="B297" s="15" t="s">
        <v>40</v>
      </c>
      <c r="C297">
        <v>17154</v>
      </c>
    </row>
    <row r="298" spans="1:3" x14ac:dyDescent="0.2">
      <c r="A298" s="17"/>
      <c r="B298" s="15" t="s">
        <v>41</v>
      </c>
      <c r="C298">
        <v>17067</v>
      </c>
    </row>
    <row r="299" spans="1:3" x14ac:dyDescent="0.2">
      <c r="A299" s="17"/>
      <c r="B299" s="15" t="s">
        <v>42</v>
      </c>
      <c r="C299">
        <v>17627</v>
      </c>
    </row>
    <row r="300" spans="1:3" x14ac:dyDescent="0.2">
      <c r="A300" s="24" t="s">
        <v>79</v>
      </c>
      <c r="B300" s="14"/>
      <c r="C300" s="33">
        <v>300219</v>
      </c>
    </row>
    <row r="301" spans="1:3" x14ac:dyDescent="0.2">
      <c r="A301" s="16" t="s">
        <v>23</v>
      </c>
      <c r="B301" s="15" t="s">
        <v>31</v>
      </c>
      <c r="C301">
        <v>25540</v>
      </c>
    </row>
    <row r="302" spans="1:3" x14ac:dyDescent="0.2">
      <c r="A302" s="17"/>
      <c r="B302" s="15" t="s">
        <v>32</v>
      </c>
      <c r="C302">
        <v>19447</v>
      </c>
    </row>
    <row r="303" spans="1:3" x14ac:dyDescent="0.2">
      <c r="A303" s="17"/>
      <c r="B303" s="15" t="s">
        <v>33</v>
      </c>
      <c r="C303">
        <v>28666</v>
      </c>
    </row>
    <row r="304" spans="1:3" x14ac:dyDescent="0.2">
      <c r="A304" s="17"/>
      <c r="B304" s="15" t="s">
        <v>34</v>
      </c>
      <c r="C304">
        <v>21329</v>
      </c>
    </row>
    <row r="305" spans="1:3" x14ac:dyDescent="0.2">
      <c r="A305" s="17"/>
      <c r="B305" s="15" t="s">
        <v>35</v>
      </c>
      <c r="C305">
        <v>23886</v>
      </c>
    </row>
    <row r="306" spans="1:3" x14ac:dyDescent="0.2">
      <c r="A306" s="17"/>
      <c r="B306" s="15" t="s">
        <v>36</v>
      </c>
      <c r="C306">
        <v>17318</v>
      </c>
    </row>
    <row r="307" spans="1:3" x14ac:dyDescent="0.2">
      <c r="A307" s="17"/>
      <c r="B307" s="15" t="s">
        <v>37</v>
      </c>
      <c r="C307">
        <v>11239</v>
      </c>
    </row>
    <row r="308" spans="1:3" x14ac:dyDescent="0.2">
      <c r="A308" s="17"/>
      <c r="B308" s="15" t="s">
        <v>38</v>
      </c>
      <c r="C308">
        <v>10368</v>
      </c>
    </row>
    <row r="309" spans="1:3" x14ac:dyDescent="0.2">
      <c r="A309" s="17"/>
      <c r="B309" s="15" t="s">
        <v>39</v>
      </c>
      <c r="C309">
        <v>13121</v>
      </c>
    </row>
    <row r="310" spans="1:3" x14ac:dyDescent="0.2">
      <c r="A310" s="17"/>
      <c r="B310" s="15" t="s">
        <v>40</v>
      </c>
      <c r="C310">
        <v>16744</v>
      </c>
    </row>
    <row r="311" spans="1:3" x14ac:dyDescent="0.2">
      <c r="A311" s="17"/>
      <c r="B311" s="15" t="s">
        <v>41</v>
      </c>
      <c r="C311">
        <v>13493</v>
      </c>
    </row>
    <row r="312" spans="1:3" x14ac:dyDescent="0.2">
      <c r="A312" s="17"/>
      <c r="B312" s="15" t="s">
        <v>42</v>
      </c>
      <c r="C312">
        <v>17326</v>
      </c>
    </row>
    <row r="313" spans="1:3" x14ac:dyDescent="0.2">
      <c r="A313" s="24" t="s">
        <v>80</v>
      </c>
      <c r="B313" s="14"/>
      <c r="C313" s="33">
        <v>218477</v>
      </c>
    </row>
    <row r="314" spans="1:3" x14ac:dyDescent="0.2">
      <c r="A314" s="16" t="s">
        <v>24</v>
      </c>
      <c r="B314" s="15" t="s">
        <v>31</v>
      </c>
      <c r="C314">
        <v>10681</v>
      </c>
    </row>
    <row r="315" spans="1:3" x14ac:dyDescent="0.2">
      <c r="A315" s="17"/>
      <c r="B315" s="15" t="s">
        <v>32</v>
      </c>
      <c r="C315">
        <v>10322</v>
      </c>
    </row>
    <row r="316" spans="1:3" x14ac:dyDescent="0.2">
      <c r="A316" s="17"/>
      <c r="B316" s="15" t="s">
        <v>33</v>
      </c>
      <c r="C316">
        <v>9041</v>
      </c>
    </row>
    <row r="317" spans="1:3" x14ac:dyDescent="0.2">
      <c r="A317" s="17"/>
      <c r="B317" s="15" t="s">
        <v>34</v>
      </c>
      <c r="C317">
        <v>10093</v>
      </c>
    </row>
    <row r="318" spans="1:3" x14ac:dyDescent="0.2">
      <c r="A318" s="17"/>
      <c r="B318" s="15" t="s">
        <v>35</v>
      </c>
      <c r="C318">
        <v>7770</v>
      </c>
    </row>
    <row r="319" spans="1:3" x14ac:dyDescent="0.2">
      <c r="A319" s="17"/>
      <c r="B319" s="15" t="s">
        <v>36</v>
      </c>
      <c r="C319">
        <v>7934</v>
      </c>
    </row>
    <row r="320" spans="1:3" x14ac:dyDescent="0.2">
      <c r="A320" s="17"/>
      <c r="B320" s="15" t="s">
        <v>37</v>
      </c>
      <c r="C320">
        <v>6786</v>
      </c>
    </row>
    <row r="321" spans="1:3" x14ac:dyDescent="0.2">
      <c r="A321" s="17"/>
      <c r="B321" s="15" t="s">
        <v>38</v>
      </c>
      <c r="C321">
        <v>5100</v>
      </c>
    </row>
    <row r="322" spans="1:3" x14ac:dyDescent="0.2">
      <c r="A322" s="17"/>
      <c r="B322" s="15" t="s">
        <v>39</v>
      </c>
      <c r="C322">
        <v>5603</v>
      </c>
    </row>
    <row r="323" spans="1:3" x14ac:dyDescent="0.2">
      <c r="A323" s="17"/>
      <c r="B323" s="15" t="s">
        <v>40</v>
      </c>
      <c r="C323">
        <v>6792</v>
      </c>
    </row>
    <row r="324" spans="1:3" x14ac:dyDescent="0.2">
      <c r="A324" s="17"/>
      <c r="B324" s="15" t="s">
        <v>41</v>
      </c>
      <c r="C324">
        <v>6904</v>
      </c>
    </row>
    <row r="325" spans="1:3" x14ac:dyDescent="0.2">
      <c r="A325" s="17"/>
      <c r="B325" s="15" t="s">
        <v>42</v>
      </c>
      <c r="C325">
        <v>7180</v>
      </c>
    </row>
    <row r="326" spans="1:3" x14ac:dyDescent="0.2">
      <c r="A326" s="24" t="s">
        <v>81</v>
      </c>
      <c r="B326" s="14"/>
      <c r="C326" s="33">
        <v>94206</v>
      </c>
    </row>
    <row r="327" spans="1:3" x14ac:dyDescent="0.2">
      <c r="A327" s="16" t="s">
        <v>25</v>
      </c>
      <c r="B327" s="15" t="s">
        <v>31</v>
      </c>
      <c r="C327">
        <v>13044</v>
      </c>
    </row>
    <row r="328" spans="1:3" x14ac:dyDescent="0.2">
      <c r="A328" s="17"/>
      <c r="B328" s="15" t="s">
        <v>32</v>
      </c>
      <c r="C328">
        <v>11090</v>
      </c>
    </row>
    <row r="329" spans="1:3" x14ac:dyDescent="0.2">
      <c r="A329" s="17"/>
      <c r="B329" s="15" t="s">
        <v>33</v>
      </c>
      <c r="C329">
        <v>13438</v>
      </c>
    </row>
    <row r="330" spans="1:3" x14ac:dyDescent="0.2">
      <c r="A330" s="17"/>
      <c r="B330" s="15" t="s">
        <v>34</v>
      </c>
      <c r="C330">
        <v>16930</v>
      </c>
    </row>
    <row r="331" spans="1:3" x14ac:dyDescent="0.2">
      <c r="A331" s="17"/>
      <c r="B331" s="15" t="s">
        <v>35</v>
      </c>
      <c r="C331">
        <v>16364</v>
      </c>
    </row>
    <row r="332" spans="1:3" x14ac:dyDescent="0.2">
      <c r="A332" s="17"/>
      <c r="B332" s="15" t="s">
        <v>36</v>
      </c>
      <c r="C332">
        <v>12573</v>
      </c>
    </row>
    <row r="333" spans="1:3" x14ac:dyDescent="0.2">
      <c r="A333" s="17"/>
      <c r="B333" s="15" t="s">
        <v>37</v>
      </c>
      <c r="C333">
        <v>7966</v>
      </c>
    </row>
    <row r="334" spans="1:3" x14ac:dyDescent="0.2">
      <c r="A334" s="17"/>
      <c r="B334" s="15" t="s">
        <v>38</v>
      </c>
      <c r="C334">
        <v>3448</v>
      </c>
    </row>
    <row r="335" spans="1:3" x14ac:dyDescent="0.2">
      <c r="A335" s="17"/>
      <c r="B335" s="15" t="s">
        <v>39</v>
      </c>
      <c r="C335">
        <v>3353</v>
      </c>
    </row>
    <row r="336" spans="1:3" x14ac:dyDescent="0.2">
      <c r="A336" s="17"/>
      <c r="B336" s="15" t="s">
        <v>40</v>
      </c>
      <c r="C336">
        <v>3878</v>
      </c>
    </row>
    <row r="337" spans="1:3" x14ac:dyDescent="0.2">
      <c r="A337" s="17"/>
      <c r="B337" s="15" t="s">
        <v>41</v>
      </c>
      <c r="C337">
        <v>5591</v>
      </c>
    </row>
    <row r="338" spans="1:3" x14ac:dyDescent="0.2">
      <c r="A338" s="17"/>
      <c r="B338" s="15" t="s">
        <v>42</v>
      </c>
      <c r="C338">
        <v>10173</v>
      </c>
    </row>
    <row r="339" spans="1:3" x14ac:dyDescent="0.2">
      <c r="A339" s="24" t="s">
        <v>82</v>
      </c>
      <c r="B339" s="14"/>
      <c r="C339" s="33">
        <v>117848</v>
      </c>
    </row>
    <row r="340" spans="1:3" x14ac:dyDescent="0.2">
      <c r="A340" s="16" t="s">
        <v>26</v>
      </c>
      <c r="B340" s="15" t="s">
        <v>31</v>
      </c>
      <c r="C340">
        <v>29500</v>
      </c>
    </row>
    <row r="341" spans="1:3" x14ac:dyDescent="0.2">
      <c r="A341" s="17"/>
      <c r="B341" s="15" t="s">
        <v>32</v>
      </c>
      <c r="C341">
        <v>27393</v>
      </c>
    </row>
    <row r="342" spans="1:3" x14ac:dyDescent="0.2">
      <c r="A342" s="17"/>
      <c r="B342" s="15" t="s">
        <v>33</v>
      </c>
      <c r="C342">
        <v>31721</v>
      </c>
    </row>
    <row r="343" spans="1:3" x14ac:dyDescent="0.2">
      <c r="A343" s="17"/>
      <c r="B343" s="15" t="s">
        <v>34</v>
      </c>
      <c r="C343">
        <v>41882</v>
      </c>
    </row>
    <row r="344" spans="1:3" x14ac:dyDescent="0.2">
      <c r="A344" s="17"/>
      <c r="B344" s="15" t="s">
        <v>35</v>
      </c>
      <c r="C344">
        <v>31506</v>
      </c>
    </row>
    <row r="345" spans="1:3" x14ac:dyDescent="0.2">
      <c r="A345" s="17"/>
      <c r="B345" s="15" t="s">
        <v>36</v>
      </c>
      <c r="C345">
        <v>28556</v>
      </c>
    </row>
    <row r="346" spans="1:3" x14ac:dyDescent="0.2">
      <c r="A346" s="17"/>
      <c r="B346" s="15" t="s">
        <v>37</v>
      </c>
      <c r="C346">
        <v>20168</v>
      </c>
    </row>
    <row r="347" spans="1:3" x14ac:dyDescent="0.2">
      <c r="A347" s="17"/>
      <c r="B347" s="15" t="s">
        <v>38</v>
      </c>
      <c r="C347">
        <v>18145</v>
      </c>
    </row>
    <row r="348" spans="1:3" x14ac:dyDescent="0.2">
      <c r="A348" s="17"/>
      <c r="B348" s="15" t="s">
        <v>39</v>
      </c>
      <c r="C348">
        <v>18110</v>
      </c>
    </row>
    <row r="349" spans="1:3" x14ac:dyDescent="0.2">
      <c r="A349" s="17"/>
      <c r="B349" s="15" t="s">
        <v>40</v>
      </c>
      <c r="C349">
        <v>17302</v>
      </c>
    </row>
    <row r="350" spans="1:3" x14ac:dyDescent="0.2">
      <c r="A350" s="17"/>
      <c r="B350" s="15" t="s">
        <v>41</v>
      </c>
      <c r="C350">
        <v>10432</v>
      </c>
    </row>
    <row r="351" spans="1:3" x14ac:dyDescent="0.2">
      <c r="A351" s="17"/>
      <c r="B351" s="15" t="s">
        <v>42</v>
      </c>
      <c r="C351">
        <v>10025</v>
      </c>
    </row>
    <row r="352" spans="1:3" x14ac:dyDescent="0.2">
      <c r="A352" s="24" t="s">
        <v>83</v>
      </c>
      <c r="B352" s="14"/>
      <c r="C352" s="33">
        <v>284740</v>
      </c>
    </row>
    <row r="353" spans="1:3" x14ac:dyDescent="0.2">
      <c r="A353" s="16" t="s">
        <v>27</v>
      </c>
      <c r="B353" s="15" t="s">
        <v>31</v>
      </c>
      <c r="C353">
        <v>21402</v>
      </c>
    </row>
    <row r="354" spans="1:3" x14ac:dyDescent="0.2">
      <c r="A354" s="17"/>
      <c r="B354" s="15" t="s">
        <v>32</v>
      </c>
      <c r="C354">
        <v>15767</v>
      </c>
    </row>
    <row r="355" spans="1:3" x14ac:dyDescent="0.2">
      <c r="A355" s="17"/>
      <c r="B355" s="15" t="s">
        <v>33</v>
      </c>
      <c r="C355">
        <v>15248</v>
      </c>
    </row>
    <row r="356" spans="1:3" x14ac:dyDescent="0.2">
      <c r="A356" s="17"/>
      <c r="B356" s="15" t="s">
        <v>34</v>
      </c>
      <c r="C356">
        <v>21583</v>
      </c>
    </row>
    <row r="357" spans="1:3" x14ac:dyDescent="0.2">
      <c r="A357" s="17"/>
      <c r="B357" s="15" t="s">
        <v>35</v>
      </c>
      <c r="C357">
        <v>18790</v>
      </c>
    </row>
    <row r="358" spans="1:3" x14ac:dyDescent="0.2">
      <c r="A358" s="17"/>
      <c r="B358" s="15" t="s">
        <v>36</v>
      </c>
      <c r="C358">
        <v>16495</v>
      </c>
    </row>
    <row r="359" spans="1:3" x14ac:dyDescent="0.2">
      <c r="A359" s="17"/>
      <c r="B359" s="15" t="s">
        <v>37</v>
      </c>
      <c r="C359">
        <v>12285</v>
      </c>
    </row>
    <row r="360" spans="1:3" x14ac:dyDescent="0.2">
      <c r="A360" s="17"/>
      <c r="B360" s="15" t="s">
        <v>38</v>
      </c>
      <c r="C360">
        <v>8645</v>
      </c>
    </row>
    <row r="361" spans="1:3" x14ac:dyDescent="0.2">
      <c r="A361" s="17"/>
      <c r="B361" s="15" t="s">
        <v>39</v>
      </c>
      <c r="C361">
        <v>8938</v>
      </c>
    </row>
    <row r="362" spans="1:3" x14ac:dyDescent="0.2">
      <c r="A362" s="17"/>
      <c r="B362" s="15" t="s">
        <v>40</v>
      </c>
      <c r="C362">
        <v>11203</v>
      </c>
    </row>
    <row r="363" spans="1:3" x14ac:dyDescent="0.2">
      <c r="A363" s="17"/>
      <c r="B363" s="15" t="s">
        <v>41</v>
      </c>
      <c r="C363">
        <v>15785</v>
      </c>
    </row>
    <row r="364" spans="1:3" x14ac:dyDescent="0.2">
      <c r="A364" s="17"/>
      <c r="B364" s="15" t="s">
        <v>42</v>
      </c>
      <c r="C364">
        <v>13746</v>
      </c>
    </row>
    <row r="365" spans="1:3" x14ac:dyDescent="0.2">
      <c r="A365" s="24" t="s">
        <v>84</v>
      </c>
      <c r="B365" s="14"/>
      <c r="C365" s="33">
        <v>179887</v>
      </c>
    </row>
    <row r="366" spans="1:3" x14ac:dyDescent="0.2">
      <c r="A366" s="16" t="s">
        <v>28</v>
      </c>
      <c r="B366" s="15" t="s">
        <v>31</v>
      </c>
      <c r="C366">
        <v>32673</v>
      </c>
    </row>
    <row r="367" spans="1:3" x14ac:dyDescent="0.2">
      <c r="A367" s="17"/>
      <c r="B367" s="15" t="s">
        <v>32</v>
      </c>
      <c r="C367">
        <v>31175</v>
      </c>
    </row>
    <row r="368" spans="1:3" x14ac:dyDescent="0.2">
      <c r="A368" s="17"/>
      <c r="B368" s="15" t="s">
        <v>33</v>
      </c>
      <c r="C368">
        <v>27851</v>
      </c>
    </row>
    <row r="369" spans="1:5" x14ac:dyDescent="0.2">
      <c r="A369" s="17"/>
      <c r="B369" s="15" t="s">
        <v>34</v>
      </c>
      <c r="C369">
        <v>38799</v>
      </c>
    </row>
    <row r="370" spans="1:5" x14ac:dyDescent="0.2">
      <c r="A370" s="17"/>
      <c r="B370" s="15" t="s">
        <v>35</v>
      </c>
      <c r="C370">
        <v>35696</v>
      </c>
    </row>
    <row r="371" spans="1:5" x14ac:dyDescent="0.2">
      <c r="A371" s="17"/>
      <c r="B371" s="15" t="s">
        <v>36</v>
      </c>
      <c r="C371">
        <v>31019</v>
      </c>
    </row>
    <row r="372" spans="1:5" x14ac:dyDescent="0.2">
      <c r="A372" s="17"/>
      <c r="B372" s="15" t="s">
        <v>37</v>
      </c>
      <c r="C372">
        <v>20613</v>
      </c>
    </row>
    <row r="373" spans="1:5" x14ac:dyDescent="0.2">
      <c r="A373" s="17"/>
      <c r="B373" s="15" t="s">
        <v>38</v>
      </c>
      <c r="C373">
        <v>21111</v>
      </c>
    </row>
    <row r="374" spans="1:5" x14ac:dyDescent="0.2">
      <c r="A374" s="17"/>
      <c r="B374" s="15" t="s">
        <v>39</v>
      </c>
      <c r="C374">
        <v>26189</v>
      </c>
    </row>
    <row r="375" spans="1:5" x14ac:dyDescent="0.2">
      <c r="A375" s="17"/>
      <c r="B375" s="15" t="s">
        <v>40</v>
      </c>
      <c r="C375">
        <v>26897</v>
      </c>
    </row>
    <row r="376" spans="1:5" x14ac:dyDescent="0.2">
      <c r="A376" s="17"/>
      <c r="B376" s="15" t="s">
        <v>41</v>
      </c>
      <c r="C376">
        <v>25619</v>
      </c>
    </row>
    <row r="377" spans="1:5" x14ac:dyDescent="0.2">
      <c r="A377" s="17"/>
      <c r="B377" s="15" t="s">
        <v>42</v>
      </c>
      <c r="C377">
        <v>26480</v>
      </c>
    </row>
    <row r="378" spans="1:5" x14ac:dyDescent="0.2">
      <c r="A378" s="24" t="s">
        <v>85</v>
      </c>
      <c r="B378" s="14"/>
      <c r="C378" s="33">
        <v>344122</v>
      </c>
    </row>
    <row r="379" spans="1:5" x14ac:dyDescent="0.2">
      <c r="A379" s="24" t="s">
        <v>122</v>
      </c>
      <c r="B379" s="14" t="s">
        <v>44</v>
      </c>
      <c r="C379" s="23">
        <f>SUM(C14,C27,C40,C53,C66,C79,C92,C105,C118,C131,C144,C157,C170,C183,C196,C209,C222,C235,C248,C261,C274,C287,C300,C313,C326,C339,C352,C365,C378)</f>
        <v>6513088</v>
      </c>
    </row>
    <row r="381" spans="1:5" x14ac:dyDescent="0.2">
      <c r="E38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8"/>
  <sheetViews>
    <sheetView workbookViewId="0"/>
  </sheetViews>
  <sheetFormatPr baseColWidth="10" defaultColWidth="8.83203125" defaultRowHeight="15" x14ac:dyDescent="0.2"/>
  <cols>
    <col min="1" max="1" width="16.5" customWidth="1"/>
    <col min="2" max="2" width="15.1640625" customWidth="1"/>
    <col min="3" max="3" width="13" customWidth="1"/>
  </cols>
  <sheetData>
    <row r="1" spans="1:3" s="3" customFormat="1" ht="16" x14ac:dyDescent="0.2">
      <c r="A1" s="25" t="s">
        <v>30</v>
      </c>
      <c r="B1" s="24" t="s">
        <v>43</v>
      </c>
      <c r="C1" s="20" t="s">
        <v>124</v>
      </c>
    </row>
    <row r="2" spans="1:3" x14ac:dyDescent="0.2">
      <c r="A2" s="16" t="s">
        <v>0</v>
      </c>
      <c r="B2" s="16" t="s">
        <v>45</v>
      </c>
      <c r="C2" s="30">
        <v>19448</v>
      </c>
    </row>
    <row r="3" spans="1:3" x14ac:dyDescent="0.2">
      <c r="A3" s="17"/>
      <c r="B3" s="18" t="s">
        <v>46</v>
      </c>
      <c r="C3" s="31">
        <v>16344</v>
      </c>
    </row>
    <row r="4" spans="1:3" x14ac:dyDescent="0.2">
      <c r="A4" s="17"/>
      <c r="B4" s="18" t="s">
        <v>47</v>
      </c>
      <c r="C4" s="31">
        <v>22487</v>
      </c>
    </row>
    <row r="5" spans="1:3" x14ac:dyDescent="0.2">
      <c r="A5" s="17"/>
      <c r="B5" s="18" t="s">
        <v>48</v>
      </c>
      <c r="C5" s="31">
        <v>23768</v>
      </c>
    </row>
    <row r="6" spans="1:3" x14ac:dyDescent="0.2">
      <c r="A6" s="17"/>
      <c r="B6" s="18" t="s">
        <v>49</v>
      </c>
      <c r="C6" s="31">
        <v>17535</v>
      </c>
    </row>
    <row r="7" spans="1:3" x14ac:dyDescent="0.2">
      <c r="A7" s="17"/>
      <c r="B7" s="18" t="s">
        <v>50</v>
      </c>
      <c r="C7" s="31">
        <v>8101</v>
      </c>
    </row>
    <row r="8" spans="1:3" x14ac:dyDescent="0.2">
      <c r="A8" s="17"/>
      <c r="B8" s="18" t="s">
        <v>51</v>
      </c>
      <c r="C8" s="31">
        <v>3241</v>
      </c>
    </row>
    <row r="9" spans="1:3" x14ac:dyDescent="0.2">
      <c r="A9" s="17"/>
      <c r="B9" s="18" t="s">
        <v>52</v>
      </c>
      <c r="C9" s="31">
        <v>5749</v>
      </c>
    </row>
    <row r="10" spans="1:3" x14ac:dyDescent="0.2">
      <c r="A10" s="17"/>
      <c r="B10" s="18" t="s">
        <v>53</v>
      </c>
      <c r="C10" s="31">
        <v>6173</v>
      </c>
    </row>
    <row r="11" spans="1:3" x14ac:dyDescent="0.2">
      <c r="A11" s="17"/>
      <c r="B11" s="18" t="s">
        <v>54</v>
      </c>
      <c r="C11" s="31">
        <v>5292</v>
      </c>
    </row>
    <row r="12" spans="1:3" x14ac:dyDescent="0.2">
      <c r="A12" s="17"/>
      <c r="B12" s="18" t="s">
        <v>55</v>
      </c>
      <c r="C12" s="31">
        <v>2286</v>
      </c>
    </row>
    <row r="13" spans="1:3" x14ac:dyDescent="0.2">
      <c r="A13" s="17"/>
      <c r="B13" s="18" t="s">
        <v>56</v>
      </c>
      <c r="C13" s="31">
        <v>578</v>
      </c>
    </row>
    <row r="14" spans="1:3" s="3" customFormat="1" x14ac:dyDescent="0.2">
      <c r="A14" s="24" t="s">
        <v>57</v>
      </c>
      <c r="B14" s="29"/>
      <c r="C14" s="23">
        <v>131002</v>
      </c>
    </row>
    <row r="15" spans="1:3" x14ac:dyDescent="0.2">
      <c r="A15" s="16" t="s">
        <v>1</v>
      </c>
      <c r="B15" s="16" t="s">
        <v>45</v>
      </c>
      <c r="C15" s="30">
        <v>34170</v>
      </c>
    </row>
    <row r="16" spans="1:3" x14ac:dyDescent="0.2">
      <c r="A16" s="17"/>
      <c r="B16" s="18" t="s">
        <v>46</v>
      </c>
      <c r="C16" s="31">
        <v>42799</v>
      </c>
    </row>
    <row r="17" spans="1:3" x14ac:dyDescent="0.2">
      <c r="A17" s="17"/>
      <c r="B17" s="18" t="s">
        <v>47</v>
      </c>
      <c r="C17" s="31">
        <v>44961</v>
      </c>
    </row>
    <row r="18" spans="1:3" x14ac:dyDescent="0.2">
      <c r="A18" s="17"/>
      <c r="B18" s="18" t="s">
        <v>48</v>
      </c>
      <c r="C18" s="31">
        <v>47170</v>
      </c>
    </row>
    <row r="19" spans="1:3" x14ac:dyDescent="0.2">
      <c r="A19" s="17"/>
      <c r="B19" s="18" t="s">
        <v>49</v>
      </c>
      <c r="C19" s="31">
        <v>39014</v>
      </c>
    </row>
    <row r="20" spans="1:3" x14ac:dyDescent="0.2">
      <c r="A20" s="17"/>
      <c r="B20" s="18" t="s">
        <v>50</v>
      </c>
      <c r="C20" s="31">
        <v>24987</v>
      </c>
    </row>
    <row r="21" spans="1:3" x14ac:dyDescent="0.2">
      <c r="A21" s="17"/>
      <c r="B21" s="18" t="s">
        <v>51</v>
      </c>
      <c r="C21" s="31">
        <v>16394</v>
      </c>
    </row>
    <row r="22" spans="1:3" x14ac:dyDescent="0.2">
      <c r="A22" s="17"/>
      <c r="B22" s="18" t="s">
        <v>52</v>
      </c>
      <c r="C22" s="31">
        <v>13644</v>
      </c>
    </row>
    <row r="23" spans="1:3" x14ac:dyDescent="0.2">
      <c r="A23" s="17"/>
      <c r="B23" s="18" t="s">
        <v>53</v>
      </c>
      <c r="C23" s="31">
        <v>16632</v>
      </c>
    </row>
    <row r="24" spans="1:3" x14ac:dyDescent="0.2">
      <c r="A24" s="17"/>
      <c r="B24" s="18" t="s">
        <v>54</v>
      </c>
      <c r="C24" s="31">
        <v>12357</v>
      </c>
    </row>
    <row r="25" spans="1:3" x14ac:dyDescent="0.2">
      <c r="A25" s="17"/>
      <c r="B25" s="18" t="s">
        <v>55</v>
      </c>
      <c r="C25" s="31">
        <v>12483</v>
      </c>
    </row>
    <row r="26" spans="1:3" x14ac:dyDescent="0.2">
      <c r="A26" s="17"/>
      <c r="B26" s="18" t="s">
        <v>56</v>
      </c>
      <c r="C26" s="31">
        <v>14899</v>
      </c>
    </row>
    <row r="27" spans="1:3" s="3" customFormat="1" x14ac:dyDescent="0.2">
      <c r="A27" s="24" t="s">
        <v>58</v>
      </c>
      <c r="B27" s="29"/>
      <c r="C27" s="23">
        <v>319510</v>
      </c>
    </row>
    <row r="28" spans="1:3" x14ac:dyDescent="0.2">
      <c r="A28" s="16" t="s">
        <v>2</v>
      </c>
      <c r="B28" s="16" t="s">
        <v>45</v>
      </c>
      <c r="C28" s="30">
        <v>10442</v>
      </c>
    </row>
    <row r="29" spans="1:3" x14ac:dyDescent="0.2">
      <c r="A29" s="17"/>
      <c r="B29" s="18" t="s">
        <v>46</v>
      </c>
      <c r="C29" s="31">
        <v>10186</v>
      </c>
    </row>
    <row r="30" spans="1:3" x14ac:dyDescent="0.2">
      <c r="A30" s="17"/>
      <c r="B30" s="18" t="s">
        <v>47</v>
      </c>
      <c r="C30" s="31">
        <v>12797</v>
      </c>
    </row>
    <row r="31" spans="1:3" x14ac:dyDescent="0.2">
      <c r="A31" s="17"/>
      <c r="B31" s="18" t="s">
        <v>48</v>
      </c>
      <c r="C31" s="31">
        <v>15665</v>
      </c>
    </row>
    <row r="32" spans="1:3" x14ac:dyDescent="0.2">
      <c r="A32" s="17"/>
      <c r="B32" s="18" t="s">
        <v>49</v>
      </c>
      <c r="C32" s="31">
        <v>19185</v>
      </c>
    </row>
    <row r="33" spans="1:3" x14ac:dyDescent="0.2">
      <c r="A33" s="17"/>
      <c r="B33" s="18" t="s">
        <v>50</v>
      </c>
      <c r="C33" s="31">
        <v>10260</v>
      </c>
    </row>
    <row r="34" spans="1:3" x14ac:dyDescent="0.2">
      <c r="A34" s="17"/>
      <c r="B34" s="18" t="s">
        <v>51</v>
      </c>
      <c r="C34" s="31">
        <v>10701</v>
      </c>
    </row>
    <row r="35" spans="1:3" x14ac:dyDescent="0.2">
      <c r="A35" s="17"/>
      <c r="B35" s="18" t="s">
        <v>52</v>
      </c>
      <c r="C35" s="31">
        <v>11989</v>
      </c>
    </row>
    <row r="36" spans="1:3" x14ac:dyDescent="0.2">
      <c r="A36" s="17"/>
      <c r="B36" s="18" t="s">
        <v>53</v>
      </c>
      <c r="C36" s="31">
        <v>12050</v>
      </c>
    </row>
    <row r="37" spans="1:3" x14ac:dyDescent="0.2">
      <c r="A37" s="17"/>
      <c r="B37" s="18" t="s">
        <v>54</v>
      </c>
      <c r="C37" s="31">
        <v>4852</v>
      </c>
    </row>
    <row r="38" spans="1:3" x14ac:dyDescent="0.2">
      <c r="A38" s="17"/>
      <c r="B38" s="18" t="s">
        <v>55</v>
      </c>
      <c r="C38" s="31">
        <v>3038</v>
      </c>
    </row>
    <row r="39" spans="1:3" x14ac:dyDescent="0.2">
      <c r="A39" s="17"/>
      <c r="B39" s="18" t="s">
        <v>56</v>
      </c>
      <c r="C39" s="31">
        <v>1162</v>
      </c>
    </row>
    <row r="40" spans="1:3" s="3" customFormat="1" x14ac:dyDescent="0.2">
      <c r="A40" s="24" t="s">
        <v>59</v>
      </c>
      <c r="B40" s="29"/>
      <c r="C40" s="23">
        <v>122327</v>
      </c>
    </row>
    <row r="41" spans="1:3" x14ac:dyDescent="0.2">
      <c r="A41" s="16" t="s">
        <v>3</v>
      </c>
      <c r="B41" s="16" t="s">
        <v>45</v>
      </c>
      <c r="C41" s="30">
        <v>14319</v>
      </c>
    </row>
    <row r="42" spans="1:3" x14ac:dyDescent="0.2">
      <c r="A42" s="17"/>
      <c r="B42" s="18" t="s">
        <v>46</v>
      </c>
      <c r="C42" s="31">
        <v>15325</v>
      </c>
    </row>
    <row r="43" spans="1:3" x14ac:dyDescent="0.2">
      <c r="A43" s="17"/>
      <c r="B43" s="18" t="s">
        <v>47</v>
      </c>
      <c r="C43" s="31">
        <v>23632</v>
      </c>
    </row>
    <row r="44" spans="1:3" x14ac:dyDescent="0.2">
      <c r="A44" s="17"/>
      <c r="B44" s="18" t="s">
        <v>48</v>
      </c>
      <c r="C44" s="31">
        <v>18129</v>
      </c>
    </row>
    <row r="45" spans="1:3" x14ac:dyDescent="0.2">
      <c r="A45" s="17"/>
      <c r="B45" s="18" t="s">
        <v>49</v>
      </c>
      <c r="C45" s="31">
        <v>16771</v>
      </c>
    </row>
    <row r="46" spans="1:3" x14ac:dyDescent="0.2">
      <c r="A46" s="17"/>
      <c r="B46" s="18" t="s">
        <v>50</v>
      </c>
      <c r="C46" s="31">
        <v>10312</v>
      </c>
    </row>
    <row r="47" spans="1:3" x14ac:dyDescent="0.2">
      <c r="A47" s="17"/>
      <c r="B47" s="18" t="s">
        <v>51</v>
      </c>
      <c r="C47" s="31">
        <v>4502</v>
      </c>
    </row>
    <row r="48" spans="1:3" x14ac:dyDescent="0.2">
      <c r="A48" s="17"/>
      <c r="B48" s="18" t="s">
        <v>52</v>
      </c>
      <c r="C48" s="31">
        <v>3404</v>
      </c>
    </row>
    <row r="49" spans="1:3" x14ac:dyDescent="0.2">
      <c r="A49" s="17"/>
      <c r="B49" s="18" t="s">
        <v>53</v>
      </c>
      <c r="C49" s="31">
        <v>2885</v>
      </c>
    </row>
    <row r="50" spans="1:3" x14ac:dyDescent="0.2">
      <c r="A50" s="17"/>
      <c r="B50" s="18" t="s">
        <v>54</v>
      </c>
      <c r="C50" s="31">
        <v>3171</v>
      </c>
    </row>
    <row r="51" spans="1:3" x14ac:dyDescent="0.2">
      <c r="A51" s="17"/>
      <c r="B51" s="18" t="s">
        <v>55</v>
      </c>
      <c r="C51" s="31">
        <v>2836</v>
      </c>
    </row>
    <row r="52" spans="1:3" x14ac:dyDescent="0.2">
      <c r="A52" s="17"/>
      <c r="B52" s="18" t="s">
        <v>56</v>
      </c>
      <c r="C52" s="31">
        <v>2654</v>
      </c>
    </row>
    <row r="53" spans="1:3" s="3" customFormat="1" x14ac:dyDescent="0.2">
      <c r="A53" s="24" t="s">
        <v>60</v>
      </c>
      <c r="B53" s="29"/>
      <c r="C53" s="23">
        <v>117940</v>
      </c>
    </row>
    <row r="54" spans="1:3" x14ac:dyDescent="0.2">
      <c r="A54" s="16" t="s">
        <v>4</v>
      </c>
      <c r="B54" s="16" t="s">
        <v>45</v>
      </c>
      <c r="C54" s="30">
        <v>7491</v>
      </c>
    </row>
    <row r="55" spans="1:3" x14ac:dyDescent="0.2">
      <c r="A55" s="17"/>
      <c r="B55" s="18" t="s">
        <v>46</v>
      </c>
      <c r="C55" s="31">
        <v>6974</v>
      </c>
    </row>
    <row r="56" spans="1:3" x14ac:dyDescent="0.2">
      <c r="A56" s="17"/>
      <c r="B56" s="18" t="s">
        <v>47</v>
      </c>
      <c r="C56" s="31">
        <v>9525</v>
      </c>
    </row>
    <row r="57" spans="1:3" x14ac:dyDescent="0.2">
      <c r="A57" s="17"/>
      <c r="B57" s="18" t="s">
        <v>48</v>
      </c>
      <c r="C57" s="31">
        <v>14170</v>
      </c>
    </row>
    <row r="58" spans="1:3" x14ac:dyDescent="0.2">
      <c r="A58" s="17"/>
      <c r="B58" s="18" t="s">
        <v>49</v>
      </c>
      <c r="C58" s="31">
        <v>11636</v>
      </c>
    </row>
    <row r="59" spans="1:3" x14ac:dyDescent="0.2">
      <c r="A59" s="17"/>
      <c r="B59" s="18" t="s">
        <v>50</v>
      </c>
      <c r="C59" s="31">
        <v>6621</v>
      </c>
    </row>
    <row r="60" spans="1:3" x14ac:dyDescent="0.2">
      <c r="A60" s="17"/>
      <c r="B60" s="18" t="s">
        <v>51</v>
      </c>
      <c r="C60" s="31">
        <v>1749</v>
      </c>
    </row>
    <row r="61" spans="1:3" x14ac:dyDescent="0.2">
      <c r="A61" s="17"/>
      <c r="B61" s="18" t="s">
        <v>52</v>
      </c>
      <c r="C61" s="31">
        <v>1986</v>
      </c>
    </row>
    <row r="62" spans="1:3" x14ac:dyDescent="0.2">
      <c r="A62" s="17"/>
      <c r="B62" s="18" t="s">
        <v>53</v>
      </c>
      <c r="C62" s="31">
        <v>2843</v>
      </c>
    </row>
    <row r="63" spans="1:3" x14ac:dyDescent="0.2">
      <c r="A63" s="17"/>
      <c r="B63" s="18" t="s">
        <v>54</v>
      </c>
      <c r="C63" s="31">
        <v>1071</v>
      </c>
    </row>
    <row r="64" spans="1:3" x14ac:dyDescent="0.2">
      <c r="A64" s="17"/>
      <c r="B64" s="18" t="s">
        <v>55</v>
      </c>
      <c r="C64" s="31">
        <v>1824</v>
      </c>
    </row>
    <row r="65" spans="1:3" s="3" customFormat="1" x14ac:dyDescent="0.2">
      <c r="A65" s="24" t="s">
        <v>61</v>
      </c>
      <c r="B65" s="29"/>
      <c r="C65" s="23">
        <v>65890</v>
      </c>
    </row>
    <row r="66" spans="1:3" x14ac:dyDescent="0.2">
      <c r="A66" s="16" t="s">
        <v>5</v>
      </c>
      <c r="B66" s="16" t="s">
        <v>45</v>
      </c>
      <c r="C66" s="30">
        <v>32793</v>
      </c>
    </row>
    <row r="67" spans="1:3" x14ac:dyDescent="0.2">
      <c r="A67" s="17"/>
      <c r="B67" s="18" t="s">
        <v>46</v>
      </c>
      <c r="C67" s="31">
        <v>38793</v>
      </c>
    </row>
    <row r="68" spans="1:3" x14ac:dyDescent="0.2">
      <c r="A68" s="17"/>
      <c r="B68" s="18" t="s">
        <v>47</v>
      </c>
      <c r="C68" s="31">
        <v>44126</v>
      </c>
    </row>
    <row r="69" spans="1:3" x14ac:dyDescent="0.2">
      <c r="A69" s="17"/>
      <c r="B69" s="18" t="s">
        <v>48</v>
      </c>
      <c r="C69" s="31">
        <v>48355</v>
      </c>
    </row>
    <row r="70" spans="1:3" x14ac:dyDescent="0.2">
      <c r="A70" s="17"/>
      <c r="B70" s="18" t="s">
        <v>49</v>
      </c>
      <c r="C70" s="31">
        <v>29197</v>
      </c>
    </row>
    <row r="71" spans="1:3" x14ac:dyDescent="0.2">
      <c r="A71" s="17"/>
      <c r="B71" s="18" t="s">
        <v>50</v>
      </c>
      <c r="C71" s="31">
        <v>21410</v>
      </c>
    </row>
    <row r="72" spans="1:3" x14ac:dyDescent="0.2">
      <c r="A72" s="17"/>
      <c r="B72" s="18" t="s">
        <v>51</v>
      </c>
      <c r="C72" s="31">
        <v>14106</v>
      </c>
    </row>
    <row r="73" spans="1:3" x14ac:dyDescent="0.2">
      <c r="A73" s="17"/>
      <c r="B73" s="18" t="s">
        <v>52</v>
      </c>
      <c r="C73" s="31">
        <v>9934</v>
      </c>
    </row>
    <row r="74" spans="1:3" x14ac:dyDescent="0.2">
      <c r="A74" s="17"/>
      <c r="B74" s="18" t="s">
        <v>53</v>
      </c>
      <c r="C74" s="31">
        <v>10022</v>
      </c>
    </row>
    <row r="75" spans="1:3" x14ac:dyDescent="0.2">
      <c r="A75" s="17"/>
      <c r="B75" s="18" t="s">
        <v>54</v>
      </c>
      <c r="C75" s="31">
        <v>13439</v>
      </c>
    </row>
    <row r="76" spans="1:3" x14ac:dyDescent="0.2">
      <c r="A76" s="17"/>
      <c r="B76" s="18" t="s">
        <v>55</v>
      </c>
      <c r="C76" s="31">
        <v>15578</v>
      </c>
    </row>
    <row r="77" spans="1:3" x14ac:dyDescent="0.2">
      <c r="A77" s="17"/>
      <c r="B77" s="18" t="s">
        <v>56</v>
      </c>
      <c r="C77" s="31">
        <v>21987</v>
      </c>
    </row>
    <row r="78" spans="1:3" s="3" customFormat="1" x14ac:dyDescent="0.2">
      <c r="A78" s="24" t="s">
        <v>62</v>
      </c>
      <c r="B78" s="29"/>
      <c r="C78" s="23">
        <v>299740</v>
      </c>
    </row>
    <row r="79" spans="1:3" x14ac:dyDescent="0.2">
      <c r="A79" s="16" t="s">
        <v>6</v>
      </c>
      <c r="B79" s="16" t="s">
        <v>45</v>
      </c>
      <c r="C79" s="30">
        <v>31210</v>
      </c>
    </row>
    <row r="80" spans="1:3" x14ac:dyDescent="0.2">
      <c r="A80" s="17"/>
      <c r="B80" s="18" t="s">
        <v>46</v>
      </c>
      <c r="C80" s="31">
        <v>34982</v>
      </c>
    </row>
    <row r="81" spans="1:3" x14ac:dyDescent="0.2">
      <c r="A81" s="17"/>
      <c r="B81" s="18" t="s">
        <v>47</v>
      </c>
      <c r="C81" s="31">
        <v>40178</v>
      </c>
    </row>
    <row r="82" spans="1:3" x14ac:dyDescent="0.2">
      <c r="A82" s="17"/>
      <c r="B82" s="18" t="s">
        <v>48</v>
      </c>
      <c r="C82" s="31">
        <v>31222</v>
      </c>
    </row>
    <row r="83" spans="1:3" x14ac:dyDescent="0.2">
      <c r="A83" s="17"/>
      <c r="B83" s="18" t="s">
        <v>49</v>
      </c>
      <c r="C83" s="31">
        <v>32071</v>
      </c>
    </row>
    <row r="84" spans="1:3" x14ac:dyDescent="0.2">
      <c r="A84" s="17"/>
      <c r="B84" s="18" t="s">
        <v>50</v>
      </c>
      <c r="C84" s="31">
        <v>17930</v>
      </c>
    </row>
    <row r="85" spans="1:3" x14ac:dyDescent="0.2">
      <c r="A85" s="17"/>
      <c r="B85" s="18" t="s">
        <v>51</v>
      </c>
      <c r="C85" s="31">
        <v>10969</v>
      </c>
    </row>
    <row r="86" spans="1:3" x14ac:dyDescent="0.2">
      <c r="A86" s="17"/>
      <c r="B86" s="18" t="s">
        <v>52</v>
      </c>
      <c r="C86" s="31">
        <v>7387</v>
      </c>
    </row>
    <row r="87" spans="1:3" x14ac:dyDescent="0.2">
      <c r="A87" s="17"/>
      <c r="B87" s="18" t="s">
        <v>53</v>
      </c>
      <c r="C87" s="31">
        <v>6541</v>
      </c>
    </row>
    <row r="88" spans="1:3" x14ac:dyDescent="0.2">
      <c r="A88" s="17"/>
      <c r="B88" s="18" t="s">
        <v>54</v>
      </c>
      <c r="C88" s="31">
        <v>12134</v>
      </c>
    </row>
    <row r="89" spans="1:3" x14ac:dyDescent="0.2">
      <c r="A89" s="17"/>
      <c r="B89" s="18" t="s">
        <v>55</v>
      </c>
      <c r="C89" s="31">
        <v>12120</v>
      </c>
    </row>
    <row r="90" spans="1:3" x14ac:dyDescent="0.2">
      <c r="A90" s="17"/>
      <c r="B90" s="18" t="s">
        <v>56</v>
      </c>
      <c r="C90" s="31">
        <v>13535</v>
      </c>
    </row>
    <row r="91" spans="1:3" s="3" customFormat="1" x14ac:dyDescent="0.2">
      <c r="A91" s="24" t="s">
        <v>63</v>
      </c>
      <c r="B91" s="29"/>
      <c r="C91" s="23">
        <v>250279</v>
      </c>
    </row>
    <row r="92" spans="1:3" x14ac:dyDescent="0.2">
      <c r="A92" s="16" t="s">
        <v>7</v>
      </c>
      <c r="B92" s="16" t="s">
        <v>45</v>
      </c>
      <c r="C92" s="30">
        <v>15488</v>
      </c>
    </row>
    <row r="93" spans="1:3" x14ac:dyDescent="0.2">
      <c r="A93" s="17"/>
      <c r="B93" s="18" t="s">
        <v>46</v>
      </c>
      <c r="C93" s="31">
        <v>16665</v>
      </c>
    </row>
    <row r="94" spans="1:3" x14ac:dyDescent="0.2">
      <c r="A94" s="17"/>
      <c r="B94" s="18" t="s">
        <v>47</v>
      </c>
      <c r="C94" s="31">
        <v>16955</v>
      </c>
    </row>
    <row r="95" spans="1:3" x14ac:dyDescent="0.2">
      <c r="A95" s="17"/>
      <c r="B95" s="18" t="s">
        <v>48</v>
      </c>
      <c r="C95" s="31">
        <v>20472</v>
      </c>
    </row>
    <row r="96" spans="1:3" x14ac:dyDescent="0.2">
      <c r="A96" s="17"/>
      <c r="B96" s="18" t="s">
        <v>49</v>
      </c>
      <c r="C96" s="31">
        <v>20801</v>
      </c>
    </row>
    <row r="97" spans="1:3" x14ac:dyDescent="0.2">
      <c r="A97" s="17"/>
      <c r="B97" s="18" t="s">
        <v>50</v>
      </c>
      <c r="C97" s="31">
        <v>13899</v>
      </c>
    </row>
    <row r="98" spans="1:3" x14ac:dyDescent="0.2">
      <c r="A98" s="17"/>
      <c r="B98" s="18" t="s">
        <v>51</v>
      </c>
      <c r="C98" s="31">
        <v>14928</v>
      </c>
    </row>
    <row r="99" spans="1:3" x14ac:dyDescent="0.2">
      <c r="A99" s="17"/>
      <c r="B99" s="18" t="s">
        <v>52</v>
      </c>
      <c r="C99" s="31">
        <v>7769</v>
      </c>
    </row>
    <row r="100" spans="1:3" x14ac:dyDescent="0.2">
      <c r="A100" s="17"/>
      <c r="B100" s="18" t="s">
        <v>53</v>
      </c>
      <c r="C100" s="31">
        <v>7509</v>
      </c>
    </row>
    <row r="101" spans="1:3" x14ac:dyDescent="0.2">
      <c r="A101" s="17"/>
      <c r="B101" s="18" t="s">
        <v>54</v>
      </c>
      <c r="C101" s="31">
        <v>13202</v>
      </c>
    </row>
    <row r="102" spans="1:3" x14ac:dyDescent="0.2">
      <c r="A102" s="17"/>
      <c r="B102" s="18" t="s">
        <v>55</v>
      </c>
      <c r="C102" s="31">
        <v>6554</v>
      </c>
    </row>
    <row r="103" spans="1:3" x14ac:dyDescent="0.2">
      <c r="A103" s="17"/>
      <c r="B103" s="18" t="s">
        <v>56</v>
      </c>
      <c r="C103" s="31">
        <v>4626</v>
      </c>
    </row>
    <row r="104" spans="1:3" s="3" customFormat="1" x14ac:dyDescent="0.2">
      <c r="A104" s="24" t="s">
        <v>64</v>
      </c>
      <c r="B104" s="29"/>
      <c r="C104" s="23">
        <v>158868</v>
      </c>
    </row>
    <row r="105" spans="1:3" x14ac:dyDescent="0.2">
      <c r="A105" s="16" t="s">
        <v>8</v>
      </c>
      <c r="B105" s="16" t="s">
        <v>45</v>
      </c>
      <c r="C105" s="30">
        <v>32579</v>
      </c>
    </row>
    <row r="106" spans="1:3" x14ac:dyDescent="0.2">
      <c r="A106" s="17"/>
      <c r="B106" s="18" t="s">
        <v>46</v>
      </c>
      <c r="C106" s="31">
        <v>50061</v>
      </c>
    </row>
    <row r="107" spans="1:3" x14ac:dyDescent="0.2">
      <c r="A107" s="17"/>
      <c r="B107" s="18" t="s">
        <v>47</v>
      </c>
      <c r="C107" s="31">
        <v>54886</v>
      </c>
    </row>
    <row r="108" spans="1:3" x14ac:dyDescent="0.2">
      <c r="A108" s="17"/>
      <c r="B108" s="18" t="s">
        <v>48</v>
      </c>
      <c r="C108" s="31">
        <v>63001</v>
      </c>
    </row>
    <row r="109" spans="1:3" x14ac:dyDescent="0.2">
      <c r="A109" s="17"/>
      <c r="B109" s="18" t="s">
        <v>49</v>
      </c>
      <c r="C109" s="31">
        <v>37088</v>
      </c>
    </row>
    <row r="110" spans="1:3" x14ac:dyDescent="0.2">
      <c r="A110" s="17"/>
      <c r="B110" s="18" t="s">
        <v>50</v>
      </c>
      <c r="C110" s="31">
        <v>20370</v>
      </c>
    </row>
    <row r="111" spans="1:3" x14ac:dyDescent="0.2">
      <c r="A111" s="17"/>
      <c r="B111" s="18" t="s">
        <v>51</v>
      </c>
      <c r="C111" s="31">
        <v>18078</v>
      </c>
    </row>
    <row r="112" spans="1:3" x14ac:dyDescent="0.2">
      <c r="A112" s="17"/>
      <c r="B112" s="18" t="s">
        <v>52</v>
      </c>
      <c r="C112" s="31">
        <v>9479</v>
      </c>
    </row>
    <row r="113" spans="1:3" x14ac:dyDescent="0.2">
      <c r="A113" s="17"/>
      <c r="B113" s="18" t="s">
        <v>53</v>
      </c>
      <c r="C113" s="31">
        <v>9276</v>
      </c>
    </row>
    <row r="114" spans="1:3" x14ac:dyDescent="0.2">
      <c r="A114" s="17"/>
      <c r="B114" s="18" t="s">
        <v>54</v>
      </c>
      <c r="C114" s="31">
        <v>10695</v>
      </c>
    </row>
    <row r="115" spans="1:3" x14ac:dyDescent="0.2">
      <c r="A115" s="17"/>
      <c r="B115" s="18" t="s">
        <v>55</v>
      </c>
      <c r="C115" s="31">
        <v>10125</v>
      </c>
    </row>
    <row r="116" spans="1:3" x14ac:dyDescent="0.2">
      <c r="A116" s="17"/>
      <c r="B116" s="18" t="s">
        <v>56</v>
      </c>
      <c r="C116" s="31">
        <v>9510</v>
      </c>
    </row>
    <row r="117" spans="1:3" s="3" customFormat="1" x14ac:dyDescent="0.2">
      <c r="A117" s="24" t="s">
        <v>65</v>
      </c>
      <c r="B117" s="29"/>
      <c r="C117" s="23">
        <v>325148</v>
      </c>
    </row>
    <row r="118" spans="1:3" x14ac:dyDescent="0.2">
      <c r="A118" s="16" t="s">
        <v>9</v>
      </c>
      <c r="B118" s="16" t="s">
        <v>45</v>
      </c>
      <c r="C118" s="30">
        <v>5159</v>
      </c>
    </row>
    <row r="119" spans="1:3" x14ac:dyDescent="0.2">
      <c r="A119" s="17"/>
      <c r="B119" s="18" t="s">
        <v>46</v>
      </c>
      <c r="C119" s="31">
        <v>670</v>
      </c>
    </row>
    <row r="120" spans="1:3" x14ac:dyDescent="0.2">
      <c r="A120" s="17"/>
      <c r="B120" s="18" t="s">
        <v>47</v>
      </c>
      <c r="C120" s="31">
        <v>718</v>
      </c>
    </row>
    <row r="121" spans="1:3" x14ac:dyDescent="0.2">
      <c r="A121" s="17"/>
      <c r="B121" s="18" t="s">
        <v>48</v>
      </c>
      <c r="C121" s="31">
        <v>1102</v>
      </c>
    </row>
    <row r="122" spans="1:3" x14ac:dyDescent="0.2">
      <c r="A122" s="17"/>
      <c r="B122" s="18" t="s">
        <v>49</v>
      </c>
      <c r="C122" s="31">
        <v>1187</v>
      </c>
    </row>
    <row r="123" spans="1:3" x14ac:dyDescent="0.2">
      <c r="A123" s="17"/>
      <c r="B123" s="18" t="s">
        <v>50</v>
      </c>
      <c r="C123" s="31">
        <v>627</v>
      </c>
    </row>
    <row r="124" spans="1:3" x14ac:dyDescent="0.2">
      <c r="A124" s="17"/>
      <c r="B124" s="18" t="s">
        <v>51</v>
      </c>
      <c r="C124" s="31">
        <v>410</v>
      </c>
    </row>
    <row r="125" spans="1:3" x14ac:dyDescent="0.2">
      <c r="A125" s="17"/>
      <c r="B125" s="18" t="s">
        <v>52</v>
      </c>
      <c r="C125" s="31">
        <v>497</v>
      </c>
    </row>
    <row r="126" spans="1:3" x14ac:dyDescent="0.2">
      <c r="A126" s="17"/>
      <c r="B126" s="18" t="s">
        <v>53</v>
      </c>
      <c r="C126" s="31">
        <v>561</v>
      </c>
    </row>
    <row r="127" spans="1:3" x14ac:dyDescent="0.2">
      <c r="A127" s="17"/>
      <c r="B127" s="18" t="s">
        <v>54</v>
      </c>
      <c r="C127" s="31">
        <v>476</v>
      </c>
    </row>
    <row r="128" spans="1:3" x14ac:dyDescent="0.2">
      <c r="A128" s="17"/>
      <c r="B128" s="18" t="s">
        <v>55</v>
      </c>
      <c r="C128" s="31">
        <v>387</v>
      </c>
    </row>
    <row r="129" spans="1:3" x14ac:dyDescent="0.2">
      <c r="A129" s="17"/>
      <c r="B129" s="18" t="s">
        <v>56</v>
      </c>
      <c r="C129" s="31">
        <v>305</v>
      </c>
    </row>
    <row r="130" spans="1:3" s="3" customFormat="1" x14ac:dyDescent="0.2">
      <c r="A130" s="24" t="s">
        <v>66</v>
      </c>
      <c r="B130" s="29"/>
      <c r="C130" s="23">
        <v>12099</v>
      </c>
    </row>
    <row r="131" spans="1:3" x14ac:dyDescent="0.2">
      <c r="A131" s="16" t="s">
        <v>10</v>
      </c>
      <c r="B131" s="16" t="s">
        <v>45</v>
      </c>
      <c r="C131" s="30">
        <v>96514</v>
      </c>
    </row>
    <row r="132" spans="1:3" x14ac:dyDescent="0.2">
      <c r="A132" s="17"/>
      <c r="B132" s="18" t="s">
        <v>46</v>
      </c>
      <c r="C132" s="31">
        <v>103693</v>
      </c>
    </row>
    <row r="133" spans="1:3" x14ac:dyDescent="0.2">
      <c r="A133" s="17"/>
      <c r="B133" s="18" t="s">
        <v>47</v>
      </c>
      <c r="C133" s="31">
        <v>123459</v>
      </c>
    </row>
    <row r="134" spans="1:3" x14ac:dyDescent="0.2">
      <c r="A134" s="17"/>
      <c r="B134" s="18" t="s">
        <v>48</v>
      </c>
      <c r="C134" s="31">
        <v>123938</v>
      </c>
    </row>
    <row r="135" spans="1:3" x14ac:dyDescent="0.2">
      <c r="A135" s="17"/>
      <c r="B135" s="18" t="s">
        <v>49</v>
      </c>
      <c r="C135" s="31">
        <v>89748</v>
      </c>
    </row>
    <row r="136" spans="1:3" x14ac:dyDescent="0.2">
      <c r="A136" s="17"/>
      <c r="B136" s="18" t="s">
        <v>50</v>
      </c>
      <c r="C136" s="31">
        <v>62252</v>
      </c>
    </row>
    <row r="137" spans="1:3" x14ac:dyDescent="0.2">
      <c r="A137" s="17"/>
      <c r="B137" s="18" t="s">
        <v>51</v>
      </c>
      <c r="C137" s="31">
        <v>41072</v>
      </c>
    </row>
    <row r="138" spans="1:3" x14ac:dyDescent="0.2">
      <c r="A138" s="17"/>
      <c r="B138" s="18" t="s">
        <v>52</v>
      </c>
      <c r="C138" s="31">
        <v>15921</v>
      </c>
    </row>
    <row r="139" spans="1:3" x14ac:dyDescent="0.2">
      <c r="A139" s="17"/>
      <c r="B139" s="18" t="s">
        <v>53</v>
      </c>
      <c r="C139" s="31">
        <v>19385</v>
      </c>
    </row>
    <row r="140" spans="1:3" x14ac:dyDescent="0.2">
      <c r="A140" s="17"/>
      <c r="B140" s="18" t="s">
        <v>54</v>
      </c>
      <c r="C140" s="31">
        <v>20772</v>
      </c>
    </row>
    <row r="141" spans="1:3" x14ac:dyDescent="0.2">
      <c r="A141" s="17"/>
      <c r="B141" s="18" t="s">
        <v>55</v>
      </c>
      <c r="C141" s="31">
        <v>25236</v>
      </c>
    </row>
    <row r="142" spans="1:3" x14ac:dyDescent="0.2">
      <c r="A142" s="17"/>
      <c r="B142" s="18" t="s">
        <v>56</v>
      </c>
      <c r="C142" s="31">
        <v>20346</v>
      </c>
    </row>
    <row r="143" spans="1:3" s="3" customFormat="1" x14ac:dyDescent="0.2">
      <c r="A143" s="24" t="s">
        <v>67</v>
      </c>
      <c r="B143" s="29"/>
      <c r="C143" s="23">
        <v>742336</v>
      </c>
    </row>
    <row r="144" spans="1:3" x14ac:dyDescent="0.2">
      <c r="A144" s="16" t="s">
        <v>11</v>
      </c>
      <c r="B144" s="16" t="s">
        <v>45</v>
      </c>
      <c r="C144" s="30">
        <v>19074</v>
      </c>
    </row>
    <row r="145" spans="1:3" x14ac:dyDescent="0.2">
      <c r="A145" s="17"/>
      <c r="B145" s="18" t="s">
        <v>46</v>
      </c>
      <c r="C145" s="31">
        <v>27886</v>
      </c>
    </row>
    <row r="146" spans="1:3" x14ac:dyDescent="0.2">
      <c r="A146" s="17"/>
      <c r="B146" s="18" t="s">
        <v>47</v>
      </c>
      <c r="C146" s="31">
        <v>29607</v>
      </c>
    </row>
    <row r="147" spans="1:3" x14ac:dyDescent="0.2">
      <c r="A147" s="17"/>
      <c r="B147" s="18" t="s">
        <v>48</v>
      </c>
      <c r="C147" s="31">
        <v>33723</v>
      </c>
    </row>
    <row r="148" spans="1:3" x14ac:dyDescent="0.2">
      <c r="A148" s="17"/>
      <c r="B148" s="18" t="s">
        <v>49</v>
      </c>
      <c r="C148" s="31">
        <v>25133</v>
      </c>
    </row>
    <row r="149" spans="1:3" x14ac:dyDescent="0.2">
      <c r="A149" s="17"/>
      <c r="B149" s="18" t="s">
        <v>50</v>
      </c>
      <c r="C149" s="31">
        <v>12818</v>
      </c>
    </row>
    <row r="150" spans="1:3" x14ac:dyDescent="0.2">
      <c r="A150" s="17"/>
      <c r="B150" s="18" t="s">
        <v>51</v>
      </c>
      <c r="C150" s="31">
        <v>11673</v>
      </c>
    </row>
    <row r="151" spans="1:3" x14ac:dyDescent="0.2">
      <c r="A151" s="17"/>
      <c r="B151" s="18" t="s">
        <v>52</v>
      </c>
      <c r="C151" s="31">
        <v>6222</v>
      </c>
    </row>
    <row r="152" spans="1:3" x14ac:dyDescent="0.2">
      <c r="A152" s="17"/>
      <c r="B152" s="18" t="s">
        <v>53</v>
      </c>
      <c r="C152" s="31">
        <v>6546</v>
      </c>
    </row>
    <row r="153" spans="1:3" x14ac:dyDescent="0.2">
      <c r="A153" s="17"/>
      <c r="B153" s="18" t="s">
        <v>54</v>
      </c>
      <c r="C153" s="31">
        <v>9245</v>
      </c>
    </row>
    <row r="154" spans="1:3" x14ac:dyDescent="0.2">
      <c r="A154" s="17"/>
      <c r="B154" s="18" t="s">
        <v>55</v>
      </c>
      <c r="C154" s="31">
        <v>6315</v>
      </c>
    </row>
    <row r="155" spans="1:3" x14ac:dyDescent="0.2">
      <c r="A155" s="17"/>
      <c r="B155" s="18" t="s">
        <v>56</v>
      </c>
      <c r="C155" s="31">
        <v>7121</v>
      </c>
    </row>
    <row r="156" spans="1:3" s="3" customFormat="1" x14ac:dyDescent="0.2">
      <c r="A156" s="24" t="s">
        <v>68</v>
      </c>
      <c r="B156" s="29"/>
      <c r="C156" s="23">
        <v>195363</v>
      </c>
    </row>
    <row r="157" spans="1:3" x14ac:dyDescent="0.2">
      <c r="A157" s="16" t="s">
        <v>12</v>
      </c>
      <c r="B157" s="16" t="s">
        <v>45</v>
      </c>
      <c r="C157" s="30">
        <v>35137</v>
      </c>
    </row>
    <row r="158" spans="1:3" x14ac:dyDescent="0.2">
      <c r="A158" s="17"/>
      <c r="B158" s="18" t="s">
        <v>46</v>
      </c>
      <c r="C158" s="31">
        <v>38673</v>
      </c>
    </row>
    <row r="159" spans="1:3" x14ac:dyDescent="0.2">
      <c r="A159" s="17"/>
      <c r="B159" s="18" t="s">
        <v>47</v>
      </c>
      <c r="C159" s="31">
        <v>44216</v>
      </c>
    </row>
    <row r="160" spans="1:3" x14ac:dyDescent="0.2">
      <c r="A160" s="17"/>
      <c r="B160" s="18" t="s">
        <v>48</v>
      </c>
      <c r="C160" s="31">
        <v>46315</v>
      </c>
    </row>
    <row r="161" spans="1:3" x14ac:dyDescent="0.2">
      <c r="A161" s="17"/>
      <c r="B161" s="18" t="s">
        <v>49</v>
      </c>
      <c r="C161" s="31">
        <v>41333</v>
      </c>
    </row>
    <row r="162" spans="1:3" x14ac:dyDescent="0.2">
      <c r="A162" s="17"/>
      <c r="B162" s="18" t="s">
        <v>50</v>
      </c>
      <c r="C162" s="31">
        <v>27036</v>
      </c>
    </row>
    <row r="163" spans="1:3" x14ac:dyDescent="0.2">
      <c r="A163" s="17"/>
      <c r="B163" s="18" t="s">
        <v>51</v>
      </c>
      <c r="C163" s="31">
        <v>20783</v>
      </c>
    </row>
    <row r="164" spans="1:3" x14ac:dyDescent="0.2">
      <c r="A164" s="17"/>
      <c r="B164" s="18" t="s">
        <v>52</v>
      </c>
      <c r="C164" s="31">
        <v>17270</v>
      </c>
    </row>
    <row r="165" spans="1:3" x14ac:dyDescent="0.2">
      <c r="A165" s="17"/>
      <c r="B165" s="18" t="s">
        <v>53</v>
      </c>
      <c r="C165" s="31">
        <v>15817</v>
      </c>
    </row>
    <row r="166" spans="1:3" x14ac:dyDescent="0.2">
      <c r="A166" s="17"/>
      <c r="B166" s="18" t="s">
        <v>54</v>
      </c>
      <c r="C166" s="31">
        <v>17822</v>
      </c>
    </row>
    <row r="167" spans="1:3" x14ac:dyDescent="0.2">
      <c r="A167" s="17"/>
      <c r="B167" s="18" t="s">
        <v>55</v>
      </c>
      <c r="C167" s="31">
        <v>11645</v>
      </c>
    </row>
    <row r="168" spans="1:3" x14ac:dyDescent="0.2">
      <c r="A168" s="17"/>
      <c r="B168" s="18" t="s">
        <v>56</v>
      </c>
      <c r="C168" s="31">
        <v>4956</v>
      </c>
    </row>
    <row r="169" spans="1:3" s="3" customFormat="1" x14ac:dyDescent="0.2">
      <c r="A169" s="24" t="s">
        <v>69</v>
      </c>
      <c r="B169" s="29"/>
      <c r="C169" s="23">
        <v>321003</v>
      </c>
    </row>
    <row r="170" spans="1:3" x14ac:dyDescent="0.2">
      <c r="A170" s="16" t="s">
        <v>13</v>
      </c>
      <c r="B170" s="16" t="s">
        <v>45</v>
      </c>
      <c r="C170" s="30">
        <v>18708</v>
      </c>
    </row>
    <row r="171" spans="1:3" x14ac:dyDescent="0.2">
      <c r="A171" s="17"/>
      <c r="B171" s="18" t="s">
        <v>46</v>
      </c>
      <c r="C171" s="31">
        <v>24539</v>
      </c>
    </row>
    <row r="172" spans="1:3" x14ac:dyDescent="0.2">
      <c r="A172" s="17"/>
      <c r="B172" s="18" t="s">
        <v>47</v>
      </c>
      <c r="C172" s="31">
        <v>36533</v>
      </c>
    </row>
    <row r="173" spans="1:3" x14ac:dyDescent="0.2">
      <c r="A173" s="17"/>
      <c r="B173" s="18" t="s">
        <v>48</v>
      </c>
      <c r="C173" s="31">
        <v>41920</v>
      </c>
    </row>
    <row r="174" spans="1:3" x14ac:dyDescent="0.2">
      <c r="A174" s="17"/>
      <c r="B174" s="18" t="s">
        <v>49</v>
      </c>
      <c r="C174" s="31">
        <v>30396</v>
      </c>
    </row>
    <row r="175" spans="1:3" x14ac:dyDescent="0.2">
      <c r="A175" s="17"/>
      <c r="B175" s="18" t="s">
        <v>50</v>
      </c>
      <c r="C175" s="31">
        <v>20262</v>
      </c>
    </row>
    <row r="176" spans="1:3" x14ac:dyDescent="0.2">
      <c r="A176" s="17"/>
      <c r="B176" s="18" t="s">
        <v>51</v>
      </c>
      <c r="C176" s="31">
        <v>9148</v>
      </c>
    </row>
    <row r="177" spans="1:3" x14ac:dyDescent="0.2">
      <c r="A177" s="17"/>
      <c r="B177" s="18" t="s">
        <v>52</v>
      </c>
      <c r="C177" s="31">
        <v>5732</v>
      </c>
    </row>
    <row r="178" spans="1:3" x14ac:dyDescent="0.2">
      <c r="A178" s="17"/>
      <c r="B178" s="18" t="s">
        <v>53</v>
      </c>
      <c r="C178" s="31">
        <v>4148</v>
      </c>
    </row>
    <row r="179" spans="1:3" x14ac:dyDescent="0.2">
      <c r="A179" s="17"/>
      <c r="B179" s="18" t="s">
        <v>54</v>
      </c>
      <c r="C179" s="31">
        <v>2627</v>
      </c>
    </row>
    <row r="180" spans="1:3" x14ac:dyDescent="0.2">
      <c r="A180" s="17"/>
      <c r="B180" s="18" t="s">
        <v>55</v>
      </c>
      <c r="C180" s="31">
        <v>1042</v>
      </c>
    </row>
    <row r="181" spans="1:3" x14ac:dyDescent="0.2">
      <c r="A181" s="17"/>
      <c r="B181" s="18" t="s">
        <v>56</v>
      </c>
      <c r="C181" s="31">
        <v>2745</v>
      </c>
    </row>
    <row r="182" spans="1:3" s="3" customFormat="1" x14ac:dyDescent="0.2">
      <c r="A182" s="24" t="s">
        <v>70</v>
      </c>
      <c r="B182" s="29"/>
      <c r="C182" s="23">
        <v>197800</v>
      </c>
    </row>
    <row r="183" spans="1:3" x14ac:dyDescent="0.2">
      <c r="A183" s="16" t="s">
        <v>14</v>
      </c>
      <c r="B183" s="16" t="s">
        <v>45</v>
      </c>
      <c r="C183" s="30">
        <v>37107</v>
      </c>
    </row>
    <row r="184" spans="1:3" x14ac:dyDescent="0.2">
      <c r="A184" s="17"/>
      <c r="B184" s="18" t="s">
        <v>46</v>
      </c>
      <c r="C184" s="31">
        <v>34559</v>
      </c>
    </row>
    <row r="185" spans="1:3" x14ac:dyDescent="0.2">
      <c r="A185" s="17"/>
      <c r="B185" s="18" t="s">
        <v>47</v>
      </c>
      <c r="C185" s="31">
        <v>29728</v>
      </c>
    </row>
    <row r="186" spans="1:3" x14ac:dyDescent="0.2">
      <c r="A186" s="17"/>
      <c r="B186" s="18" t="s">
        <v>48</v>
      </c>
      <c r="C186" s="31">
        <v>25319</v>
      </c>
    </row>
    <row r="187" spans="1:3" x14ac:dyDescent="0.2">
      <c r="A187" s="17"/>
      <c r="B187" s="18" t="s">
        <v>49</v>
      </c>
      <c r="C187" s="31">
        <v>27798</v>
      </c>
    </row>
    <row r="188" spans="1:3" x14ac:dyDescent="0.2">
      <c r="A188" s="17"/>
      <c r="B188" s="18" t="s">
        <v>50</v>
      </c>
      <c r="C188" s="31">
        <v>15310</v>
      </c>
    </row>
    <row r="189" spans="1:3" x14ac:dyDescent="0.2">
      <c r="A189" s="17"/>
      <c r="B189" s="18" t="s">
        <v>51</v>
      </c>
      <c r="C189" s="31">
        <v>8868</v>
      </c>
    </row>
    <row r="190" spans="1:3" x14ac:dyDescent="0.2">
      <c r="A190" s="17"/>
      <c r="B190" s="18" t="s">
        <v>52</v>
      </c>
      <c r="C190" s="31">
        <v>7751</v>
      </c>
    </row>
    <row r="191" spans="1:3" x14ac:dyDescent="0.2">
      <c r="A191" s="17"/>
      <c r="B191" s="18" t="s">
        <v>53</v>
      </c>
      <c r="C191" s="31">
        <v>12252</v>
      </c>
    </row>
    <row r="192" spans="1:3" x14ac:dyDescent="0.2">
      <c r="A192" s="17"/>
      <c r="B192" s="18" t="s">
        <v>54</v>
      </c>
      <c r="C192" s="31">
        <v>13722</v>
      </c>
    </row>
    <row r="193" spans="1:3" x14ac:dyDescent="0.2">
      <c r="A193" s="17"/>
      <c r="B193" s="18" t="s">
        <v>55</v>
      </c>
      <c r="C193" s="31">
        <v>13571</v>
      </c>
    </row>
    <row r="194" spans="1:3" x14ac:dyDescent="0.2">
      <c r="A194" s="17"/>
      <c r="B194" s="18" t="s">
        <v>56</v>
      </c>
      <c r="C194" s="31">
        <v>9967</v>
      </c>
    </row>
    <row r="195" spans="1:3" s="3" customFormat="1" x14ac:dyDescent="0.2">
      <c r="A195" s="24" t="s">
        <v>71</v>
      </c>
      <c r="B195" s="29"/>
      <c r="C195" s="23">
        <v>235952</v>
      </c>
    </row>
    <row r="196" spans="1:3" x14ac:dyDescent="0.2">
      <c r="A196" s="16" t="s">
        <v>15</v>
      </c>
      <c r="B196" s="16" t="s">
        <v>45</v>
      </c>
      <c r="C196" s="30">
        <v>8907</v>
      </c>
    </row>
    <row r="197" spans="1:3" x14ac:dyDescent="0.2">
      <c r="A197" s="17"/>
      <c r="B197" s="18" t="s">
        <v>46</v>
      </c>
      <c r="C197" s="31">
        <v>10465</v>
      </c>
    </row>
    <row r="198" spans="1:3" x14ac:dyDescent="0.2">
      <c r="A198" s="17"/>
      <c r="B198" s="18" t="s">
        <v>47</v>
      </c>
      <c r="C198" s="31">
        <v>11149</v>
      </c>
    </row>
    <row r="199" spans="1:3" x14ac:dyDescent="0.2">
      <c r="A199" s="17"/>
      <c r="B199" s="18" t="s">
        <v>48</v>
      </c>
      <c r="C199" s="31">
        <v>10490</v>
      </c>
    </row>
    <row r="200" spans="1:3" x14ac:dyDescent="0.2">
      <c r="A200" s="17"/>
      <c r="B200" s="18" t="s">
        <v>49</v>
      </c>
      <c r="C200" s="31">
        <v>9480</v>
      </c>
    </row>
    <row r="201" spans="1:3" x14ac:dyDescent="0.2">
      <c r="A201" s="17"/>
      <c r="B201" s="18" t="s">
        <v>50</v>
      </c>
      <c r="C201" s="31">
        <v>9079</v>
      </c>
    </row>
    <row r="202" spans="1:3" x14ac:dyDescent="0.2">
      <c r="A202" s="17"/>
      <c r="B202" s="18" t="s">
        <v>51</v>
      </c>
      <c r="C202" s="31">
        <v>5939</v>
      </c>
    </row>
    <row r="203" spans="1:3" x14ac:dyDescent="0.2">
      <c r="A203" s="17"/>
      <c r="B203" s="18" t="s">
        <v>52</v>
      </c>
      <c r="C203" s="31">
        <v>4643</v>
      </c>
    </row>
    <row r="204" spans="1:3" x14ac:dyDescent="0.2">
      <c r="A204" s="17"/>
      <c r="B204" s="18" t="s">
        <v>53</v>
      </c>
      <c r="C204" s="31">
        <v>6258</v>
      </c>
    </row>
    <row r="205" spans="1:3" x14ac:dyDescent="0.2">
      <c r="A205" s="17"/>
      <c r="B205" s="18" t="s">
        <v>54</v>
      </c>
      <c r="C205" s="31">
        <v>6148</v>
      </c>
    </row>
    <row r="206" spans="1:3" x14ac:dyDescent="0.2">
      <c r="A206" s="17"/>
      <c r="B206" s="18" t="s">
        <v>55</v>
      </c>
      <c r="C206" s="31">
        <v>3668</v>
      </c>
    </row>
    <row r="207" spans="1:3" x14ac:dyDescent="0.2">
      <c r="A207" s="17"/>
      <c r="B207" s="18" t="s">
        <v>56</v>
      </c>
      <c r="C207" s="31">
        <v>3870</v>
      </c>
    </row>
    <row r="208" spans="1:3" s="3" customFormat="1" x14ac:dyDescent="0.2">
      <c r="A208" s="24" t="s">
        <v>72</v>
      </c>
      <c r="B208" s="29"/>
      <c r="C208" s="23">
        <v>90096</v>
      </c>
    </row>
    <row r="209" spans="1:3" x14ac:dyDescent="0.2">
      <c r="A209" s="16" t="s">
        <v>16</v>
      </c>
      <c r="B209" s="16" t="s">
        <v>45</v>
      </c>
      <c r="C209" s="30">
        <v>24947</v>
      </c>
    </row>
    <row r="210" spans="1:3" x14ac:dyDescent="0.2">
      <c r="A210" s="17"/>
      <c r="B210" s="18" t="s">
        <v>46</v>
      </c>
      <c r="C210" s="31">
        <v>28544</v>
      </c>
    </row>
    <row r="211" spans="1:3" x14ac:dyDescent="0.2">
      <c r="A211" s="17"/>
      <c r="B211" s="18" t="s">
        <v>47</v>
      </c>
      <c r="C211" s="31">
        <v>42268</v>
      </c>
    </row>
    <row r="212" spans="1:3" x14ac:dyDescent="0.2">
      <c r="A212" s="17"/>
      <c r="B212" s="18" t="s">
        <v>48</v>
      </c>
      <c r="C212" s="31">
        <v>41756</v>
      </c>
    </row>
    <row r="213" spans="1:3" x14ac:dyDescent="0.2">
      <c r="A213" s="17"/>
      <c r="B213" s="18" t="s">
        <v>49</v>
      </c>
      <c r="C213" s="31">
        <v>23883</v>
      </c>
    </row>
    <row r="214" spans="1:3" x14ac:dyDescent="0.2">
      <c r="A214" s="17"/>
      <c r="B214" s="18" t="s">
        <v>50</v>
      </c>
      <c r="C214" s="31">
        <v>15672</v>
      </c>
    </row>
    <row r="215" spans="1:3" x14ac:dyDescent="0.2">
      <c r="A215" s="17"/>
      <c r="B215" s="18" t="s">
        <v>51</v>
      </c>
      <c r="C215" s="31">
        <v>10062</v>
      </c>
    </row>
    <row r="216" spans="1:3" x14ac:dyDescent="0.2">
      <c r="A216" s="17"/>
      <c r="B216" s="18" t="s">
        <v>52</v>
      </c>
      <c r="C216" s="31">
        <v>3243</v>
      </c>
    </row>
    <row r="217" spans="1:3" x14ac:dyDescent="0.2">
      <c r="A217" s="17"/>
      <c r="B217" s="18" t="s">
        <v>53</v>
      </c>
      <c r="C217" s="31">
        <v>3878</v>
      </c>
    </row>
    <row r="218" spans="1:3" x14ac:dyDescent="0.2">
      <c r="A218" s="17"/>
      <c r="B218" s="18" t="s">
        <v>54</v>
      </c>
      <c r="C218" s="31">
        <v>4056</v>
      </c>
    </row>
    <row r="219" spans="1:3" x14ac:dyDescent="0.2">
      <c r="A219" s="17"/>
      <c r="B219" s="18" t="s">
        <v>55</v>
      </c>
      <c r="C219" s="31">
        <v>3821</v>
      </c>
    </row>
    <row r="220" spans="1:3" x14ac:dyDescent="0.2">
      <c r="A220" s="17"/>
      <c r="B220" s="18" t="s">
        <v>56</v>
      </c>
      <c r="C220" s="31">
        <v>2215</v>
      </c>
    </row>
    <row r="221" spans="1:3" s="3" customFormat="1" x14ac:dyDescent="0.2">
      <c r="A221" s="24" t="s">
        <v>73</v>
      </c>
      <c r="B221" s="29"/>
      <c r="C221" s="23">
        <f>SUM(C209:C220)</f>
        <v>204345</v>
      </c>
    </row>
    <row r="222" spans="1:3" x14ac:dyDescent="0.2">
      <c r="A222" s="16" t="s">
        <v>17</v>
      </c>
      <c r="B222" s="16" t="s">
        <v>45</v>
      </c>
      <c r="C222" s="30">
        <v>22502</v>
      </c>
    </row>
    <row r="223" spans="1:3" x14ac:dyDescent="0.2">
      <c r="A223" s="17"/>
      <c r="B223" s="18" t="s">
        <v>46</v>
      </c>
      <c r="C223" s="31">
        <v>27294</v>
      </c>
    </row>
    <row r="224" spans="1:3" x14ac:dyDescent="0.2">
      <c r="A224" s="17"/>
      <c r="B224" s="18" t="s">
        <v>47</v>
      </c>
      <c r="C224" s="31">
        <v>38383</v>
      </c>
    </row>
    <row r="225" spans="1:3" x14ac:dyDescent="0.2">
      <c r="A225" s="17"/>
      <c r="B225" s="18" t="s">
        <v>48</v>
      </c>
      <c r="C225" s="31">
        <v>45230</v>
      </c>
    </row>
    <row r="226" spans="1:3" x14ac:dyDescent="0.2">
      <c r="A226" s="17"/>
      <c r="B226" s="18" t="s">
        <v>49</v>
      </c>
      <c r="C226" s="31">
        <v>35223</v>
      </c>
    </row>
    <row r="227" spans="1:3" x14ac:dyDescent="0.2">
      <c r="A227" s="17"/>
      <c r="B227" s="18" t="s">
        <v>50</v>
      </c>
      <c r="C227" s="31">
        <v>15870</v>
      </c>
    </row>
    <row r="228" spans="1:3" x14ac:dyDescent="0.2">
      <c r="A228" s="17"/>
      <c r="B228" s="18" t="s">
        <v>51</v>
      </c>
      <c r="C228" s="31">
        <v>10183</v>
      </c>
    </row>
    <row r="229" spans="1:3" x14ac:dyDescent="0.2">
      <c r="A229" s="17"/>
      <c r="B229" s="18" t="s">
        <v>52</v>
      </c>
      <c r="C229" s="31">
        <v>5099</v>
      </c>
    </row>
    <row r="230" spans="1:3" x14ac:dyDescent="0.2">
      <c r="A230" s="17"/>
      <c r="B230" s="18" t="s">
        <v>53</v>
      </c>
      <c r="C230" s="31">
        <v>5345</v>
      </c>
    </row>
    <row r="231" spans="1:3" x14ac:dyDescent="0.2">
      <c r="A231" s="17"/>
      <c r="B231" s="18" t="s">
        <v>54</v>
      </c>
      <c r="C231" s="31">
        <v>6165</v>
      </c>
    </row>
    <row r="232" spans="1:3" x14ac:dyDescent="0.2">
      <c r="A232" s="17"/>
      <c r="B232" s="18" t="s">
        <v>55</v>
      </c>
      <c r="C232" s="31">
        <v>6314</v>
      </c>
    </row>
    <row r="233" spans="1:3" x14ac:dyDescent="0.2">
      <c r="A233" s="17"/>
      <c r="B233" s="18" t="s">
        <v>56</v>
      </c>
      <c r="C233" s="31">
        <v>3681</v>
      </c>
    </row>
    <row r="234" spans="1:3" s="3" customFormat="1" x14ac:dyDescent="0.2">
      <c r="A234" s="24" t="s">
        <v>74</v>
      </c>
      <c r="B234" s="29"/>
      <c r="C234" s="23">
        <v>221289</v>
      </c>
    </row>
    <row r="235" spans="1:3" x14ac:dyDescent="0.2">
      <c r="A235" s="16" t="s">
        <v>18</v>
      </c>
      <c r="B235" s="16" t="s">
        <v>45</v>
      </c>
      <c r="C235" s="30">
        <v>16275</v>
      </c>
    </row>
    <row r="236" spans="1:3" x14ac:dyDescent="0.2">
      <c r="A236" s="17"/>
      <c r="B236" s="18" t="s">
        <v>46</v>
      </c>
      <c r="C236" s="31">
        <v>14213</v>
      </c>
    </row>
    <row r="237" spans="1:3" x14ac:dyDescent="0.2">
      <c r="A237" s="17"/>
      <c r="B237" s="18" t="s">
        <v>47</v>
      </c>
      <c r="C237" s="31">
        <v>20183</v>
      </c>
    </row>
    <row r="238" spans="1:3" x14ac:dyDescent="0.2">
      <c r="A238" s="17"/>
      <c r="B238" s="18" t="s">
        <v>48</v>
      </c>
      <c r="C238" s="31">
        <v>17129</v>
      </c>
    </row>
    <row r="239" spans="1:3" x14ac:dyDescent="0.2">
      <c r="A239" s="17"/>
      <c r="B239" s="18" t="s">
        <v>49</v>
      </c>
      <c r="C239" s="31">
        <v>16550</v>
      </c>
    </row>
    <row r="240" spans="1:3" x14ac:dyDescent="0.2">
      <c r="A240" s="17"/>
      <c r="B240" s="18" t="s">
        <v>50</v>
      </c>
      <c r="C240" s="31">
        <v>9941</v>
      </c>
    </row>
    <row r="241" spans="1:3" x14ac:dyDescent="0.2">
      <c r="A241" s="17"/>
      <c r="B241" s="18" t="s">
        <v>51</v>
      </c>
      <c r="C241" s="31">
        <v>9078</v>
      </c>
    </row>
    <row r="242" spans="1:3" x14ac:dyDescent="0.2">
      <c r="A242" s="17"/>
      <c r="B242" s="18" t="s">
        <v>52</v>
      </c>
      <c r="C242" s="31">
        <v>6909</v>
      </c>
    </row>
    <row r="243" spans="1:3" x14ac:dyDescent="0.2">
      <c r="A243" s="17"/>
      <c r="B243" s="18" t="s">
        <v>53</v>
      </c>
      <c r="C243" s="31">
        <v>7967</v>
      </c>
    </row>
    <row r="244" spans="1:3" x14ac:dyDescent="0.2">
      <c r="A244" s="17"/>
      <c r="B244" s="18" t="s">
        <v>54</v>
      </c>
      <c r="C244" s="31">
        <v>8361</v>
      </c>
    </row>
    <row r="245" spans="1:3" x14ac:dyDescent="0.2">
      <c r="A245" s="17"/>
      <c r="B245" s="18" t="s">
        <v>55</v>
      </c>
      <c r="C245" s="31">
        <v>4806</v>
      </c>
    </row>
    <row r="246" spans="1:3" x14ac:dyDescent="0.2">
      <c r="A246" s="17"/>
      <c r="B246" s="18" t="s">
        <v>56</v>
      </c>
      <c r="C246" s="31">
        <v>6242</v>
      </c>
    </row>
    <row r="247" spans="1:3" s="3" customFormat="1" x14ac:dyDescent="0.2">
      <c r="A247" s="24" t="s">
        <v>75</v>
      </c>
      <c r="B247" s="29"/>
      <c r="C247" s="23">
        <v>137654</v>
      </c>
    </row>
    <row r="248" spans="1:3" x14ac:dyDescent="0.2">
      <c r="A248" s="16" t="s">
        <v>19</v>
      </c>
      <c r="B248" s="16" t="s">
        <v>45</v>
      </c>
      <c r="C248" s="30">
        <v>17864</v>
      </c>
    </row>
    <row r="249" spans="1:3" x14ac:dyDescent="0.2">
      <c r="A249" s="17"/>
      <c r="B249" s="18" t="s">
        <v>46</v>
      </c>
      <c r="C249" s="31">
        <v>18869</v>
      </c>
    </row>
    <row r="250" spans="1:3" x14ac:dyDescent="0.2">
      <c r="A250" s="17"/>
      <c r="B250" s="18" t="s">
        <v>47</v>
      </c>
      <c r="C250" s="31">
        <v>20834</v>
      </c>
    </row>
    <row r="251" spans="1:3" x14ac:dyDescent="0.2">
      <c r="A251" s="17"/>
      <c r="B251" s="18" t="s">
        <v>48</v>
      </c>
      <c r="C251" s="31">
        <v>19083</v>
      </c>
    </row>
    <row r="252" spans="1:3" x14ac:dyDescent="0.2">
      <c r="A252" s="17"/>
      <c r="B252" s="18" t="s">
        <v>49</v>
      </c>
      <c r="C252" s="31">
        <v>13914</v>
      </c>
    </row>
    <row r="253" spans="1:3" x14ac:dyDescent="0.2">
      <c r="A253" s="17"/>
      <c r="B253" s="18" t="s">
        <v>50</v>
      </c>
      <c r="C253" s="31">
        <v>14048</v>
      </c>
    </row>
    <row r="254" spans="1:3" x14ac:dyDescent="0.2">
      <c r="A254" s="17"/>
      <c r="B254" s="18" t="s">
        <v>51</v>
      </c>
      <c r="C254" s="31">
        <v>11686</v>
      </c>
    </row>
    <row r="255" spans="1:3" x14ac:dyDescent="0.2">
      <c r="A255" s="17"/>
      <c r="B255" s="18" t="s">
        <v>52</v>
      </c>
      <c r="C255" s="31">
        <v>14291</v>
      </c>
    </row>
    <row r="256" spans="1:3" x14ac:dyDescent="0.2">
      <c r="A256" s="17"/>
      <c r="B256" s="18" t="s">
        <v>53</v>
      </c>
      <c r="C256" s="31">
        <v>16050</v>
      </c>
    </row>
    <row r="257" spans="1:3" x14ac:dyDescent="0.2">
      <c r="A257" s="17"/>
      <c r="B257" s="18" t="s">
        <v>54</v>
      </c>
      <c r="C257" s="31">
        <v>15415</v>
      </c>
    </row>
    <row r="258" spans="1:3" x14ac:dyDescent="0.2">
      <c r="A258" s="17"/>
      <c r="B258" s="18" t="s">
        <v>55</v>
      </c>
      <c r="C258" s="31">
        <v>14592</v>
      </c>
    </row>
    <row r="259" spans="1:3" x14ac:dyDescent="0.2">
      <c r="A259" s="17"/>
      <c r="B259" s="18" t="s">
        <v>56</v>
      </c>
      <c r="C259" s="31">
        <v>12169</v>
      </c>
    </row>
    <row r="260" spans="1:3" s="3" customFormat="1" x14ac:dyDescent="0.2">
      <c r="A260" s="24" t="s">
        <v>76</v>
      </c>
      <c r="B260" s="29"/>
      <c r="C260" s="23">
        <v>188815</v>
      </c>
    </row>
    <row r="261" spans="1:3" x14ac:dyDescent="0.2">
      <c r="A261" s="16" t="s">
        <v>20</v>
      </c>
      <c r="B261" s="16" t="s">
        <v>45</v>
      </c>
      <c r="C261" s="30">
        <v>30032</v>
      </c>
    </row>
    <row r="262" spans="1:3" x14ac:dyDescent="0.2">
      <c r="A262" s="17"/>
      <c r="B262" s="18" t="s">
        <v>46</v>
      </c>
      <c r="C262" s="31">
        <v>30212</v>
      </c>
    </row>
    <row r="263" spans="1:3" x14ac:dyDescent="0.2">
      <c r="A263" s="17"/>
      <c r="B263" s="18" t="s">
        <v>47</v>
      </c>
      <c r="C263" s="31">
        <v>26967</v>
      </c>
    </row>
    <row r="264" spans="1:3" x14ac:dyDescent="0.2">
      <c r="A264" s="17"/>
      <c r="B264" s="18" t="s">
        <v>48</v>
      </c>
      <c r="C264" s="31">
        <v>30660</v>
      </c>
    </row>
    <row r="265" spans="1:3" x14ac:dyDescent="0.2">
      <c r="A265" s="17"/>
      <c r="B265" s="18" t="s">
        <v>49</v>
      </c>
      <c r="C265" s="31">
        <v>32975</v>
      </c>
    </row>
    <row r="266" spans="1:3" x14ac:dyDescent="0.2">
      <c r="A266" s="17"/>
      <c r="B266" s="18" t="s">
        <v>50</v>
      </c>
      <c r="C266" s="31">
        <v>24844</v>
      </c>
    </row>
    <row r="267" spans="1:3" x14ac:dyDescent="0.2">
      <c r="A267" s="17"/>
      <c r="B267" s="18" t="s">
        <v>51</v>
      </c>
      <c r="C267" s="31">
        <v>24509</v>
      </c>
    </row>
    <row r="268" spans="1:3" x14ac:dyDescent="0.2">
      <c r="A268" s="17"/>
      <c r="B268" s="18" t="s">
        <v>52</v>
      </c>
      <c r="C268" s="31">
        <v>23032</v>
      </c>
    </row>
    <row r="269" spans="1:3" x14ac:dyDescent="0.2">
      <c r="A269" s="17"/>
      <c r="B269" s="18" t="s">
        <v>53</v>
      </c>
      <c r="C269" s="31">
        <v>22863</v>
      </c>
    </row>
    <row r="270" spans="1:3" x14ac:dyDescent="0.2">
      <c r="A270" s="17"/>
      <c r="B270" s="18" t="s">
        <v>54</v>
      </c>
      <c r="C270" s="31">
        <v>24271</v>
      </c>
    </row>
    <row r="271" spans="1:3" x14ac:dyDescent="0.2">
      <c r="A271" s="17"/>
      <c r="B271" s="18" t="s">
        <v>55</v>
      </c>
      <c r="C271" s="31">
        <v>20869</v>
      </c>
    </row>
    <row r="272" spans="1:3" x14ac:dyDescent="0.2">
      <c r="A272" s="17"/>
      <c r="B272" s="18" t="s">
        <v>56</v>
      </c>
      <c r="C272" s="31">
        <v>11366</v>
      </c>
    </row>
    <row r="273" spans="1:3" s="3" customFormat="1" x14ac:dyDescent="0.2">
      <c r="A273" s="24" t="s">
        <v>77</v>
      </c>
      <c r="B273" s="29"/>
      <c r="C273" s="23">
        <v>302600</v>
      </c>
    </row>
    <row r="274" spans="1:3" x14ac:dyDescent="0.2">
      <c r="A274" s="16" t="s">
        <v>21</v>
      </c>
      <c r="B274" s="16" t="s">
        <v>45</v>
      </c>
      <c r="C274" s="30">
        <v>7264</v>
      </c>
    </row>
    <row r="275" spans="1:3" x14ac:dyDescent="0.2">
      <c r="A275" s="17"/>
      <c r="B275" s="18" t="s">
        <v>46</v>
      </c>
      <c r="C275" s="31">
        <v>8073</v>
      </c>
    </row>
    <row r="276" spans="1:3" x14ac:dyDescent="0.2">
      <c r="A276" s="17"/>
      <c r="B276" s="18" t="s">
        <v>47</v>
      </c>
      <c r="C276" s="31">
        <v>7603</v>
      </c>
    </row>
    <row r="277" spans="1:3" x14ac:dyDescent="0.2">
      <c r="A277" s="17"/>
      <c r="B277" s="18" t="s">
        <v>48</v>
      </c>
      <c r="C277" s="31">
        <v>9131</v>
      </c>
    </row>
    <row r="278" spans="1:3" x14ac:dyDescent="0.2">
      <c r="A278" s="17"/>
      <c r="B278" s="18" t="s">
        <v>49</v>
      </c>
      <c r="C278" s="31">
        <v>9822</v>
      </c>
    </row>
    <row r="279" spans="1:3" x14ac:dyDescent="0.2">
      <c r="A279" s="17"/>
      <c r="B279" s="18" t="s">
        <v>50</v>
      </c>
      <c r="C279" s="31">
        <v>8622</v>
      </c>
    </row>
    <row r="280" spans="1:3" x14ac:dyDescent="0.2">
      <c r="A280" s="17"/>
      <c r="B280" s="18" t="s">
        <v>51</v>
      </c>
      <c r="C280" s="31">
        <v>6329</v>
      </c>
    </row>
    <row r="281" spans="1:3" x14ac:dyDescent="0.2">
      <c r="A281" s="17"/>
      <c r="B281" s="18" t="s">
        <v>52</v>
      </c>
      <c r="C281" s="31">
        <v>6584</v>
      </c>
    </row>
    <row r="282" spans="1:3" x14ac:dyDescent="0.2">
      <c r="A282" s="17"/>
      <c r="B282" s="18" t="s">
        <v>53</v>
      </c>
      <c r="C282" s="31">
        <v>7848</v>
      </c>
    </row>
    <row r="283" spans="1:3" x14ac:dyDescent="0.2">
      <c r="A283" s="17"/>
      <c r="B283" s="18" t="s">
        <v>54</v>
      </c>
      <c r="C283" s="31">
        <v>2495</v>
      </c>
    </row>
    <row r="284" spans="1:3" x14ac:dyDescent="0.2">
      <c r="A284" s="17"/>
      <c r="B284" s="18" t="s">
        <v>55</v>
      </c>
      <c r="C284" s="31">
        <v>4550</v>
      </c>
    </row>
    <row r="285" spans="1:3" x14ac:dyDescent="0.2">
      <c r="A285" s="17"/>
      <c r="B285" s="18" t="s">
        <v>56</v>
      </c>
      <c r="C285" s="31">
        <v>1715</v>
      </c>
    </row>
    <row r="286" spans="1:3" s="3" customFormat="1" x14ac:dyDescent="0.2">
      <c r="A286" s="24" t="s">
        <v>78</v>
      </c>
      <c r="B286" s="29"/>
      <c r="C286" s="23">
        <v>80036</v>
      </c>
    </row>
    <row r="287" spans="1:3" x14ac:dyDescent="0.2">
      <c r="A287" s="16" t="s">
        <v>22</v>
      </c>
      <c r="B287" s="16" t="s">
        <v>45</v>
      </c>
      <c r="C287" s="30">
        <v>35435</v>
      </c>
    </row>
    <row r="288" spans="1:3" x14ac:dyDescent="0.2">
      <c r="A288" s="17"/>
      <c r="B288" s="18" t="s">
        <v>46</v>
      </c>
      <c r="C288" s="31">
        <v>28516</v>
      </c>
    </row>
    <row r="289" spans="1:3" x14ac:dyDescent="0.2">
      <c r="A289" s="17"/>
      <c r="B289" s="18" t="s">
        <v>47</v>
      </c>
      <c r="C289" s="31">
        <v>35065</v>
      </c>
    </row>
    <row r="290" spans="1:3" x14ac:dyDescent="0.2">
      <c r="A290" s="17"/>
      <c r="B290" s="18" t="s">
        <v>48</v>
      </c>
      <c r="C290" s="31">
        <v>43501</v>
      </c>
    </row>
    <row r="291" spans="1:3" x14ac:dyDescent="0.2">
      <c r="A291" s="17"/>
      <c r="B291" s="18" t="s">
        <v>49</v>
      </c>
      <c r="C291" s="31">
        <v>36414</v>
      </c>
    </row>
    <row r="292" spans="1:3" x14ac:dyDescent="0.2">
      <c r="A292" s="17"/>
      <c r="B292" s="18" t="s">
        <v>50</v>
      </c>
      <c r="C292" s="31">
        <v>19708</v>
      </c>
    </row>
    <row r="293" spans="1:3" x14ac:dyDescent="0.2">
      <c r="A293" s="17"/>
      <c r="B293" s="18" t="s">
        <v>51</v>
      </c>
      <c r="C293" s="31">
        <v>12820</v>
      </c>
    </row>
    <row r="294" spans="1:3" x14ac:dyDescent="0.2">
      <c r="A294" s="17"/>
      <c r="B294" s="18" t="s">
        <v>52</v>
      </c>
      <c r="C294" s="31">
        <v>10201</v>
      </c>
    </row>
    <row r="295" spans="1:3" x14ac:dyDescent="0.2">
      <c r="A295" s="17"/>
      <c r="B295" s="18" t="s">
        <v>53</v>
      </c>
      <c r="C295" s="31">
        <v>9559</v>
      </c>
    </row>
    <row r="296" spans="1:3" x14ac:dyDescent="0.2">
      <c r="A296" s="17"/>
      <c r="B296" s="18" t="s">
        <v>54</v>
      </c>
      <c r="C296" s="31">
        <v>10104</v>
      </c>
    </row>
    <row r="297" spans="1:3" x14ac:dyDescent="0.2">
      <c r="A297" s="17"/>
      <c r="B297" s="18" t="s">
        <v>55</v>
      </c>
      <c r="C297" s="31">
        <v>11038</v>
      </c>
    </row>
    <row r="298" spans="1:3" x14ac:dyDescent="0.2">
      <c r="A298" s="17"/>
      <c r="B298" s="18" t="s">
        <v>56</v>
      </c>
      <c r="C298" s="31">
        <v>18347</v>
      </c>
    </row>
    <row r="299" spans="1:3" s="3" customFormat="1" x14ac:dyDescent="0.2">
      <c r="A299" s="24" t="s">
        <v>79</v>
      </c>
      <c r="B299" s="29"/>
      <c r="C299" s="23">
        <v>270708</v>
      </c>
    </row>
    <row r="300" spans="1:3" x14ac:dyDescent="0.2">
      <c r="A300" s="16" t="s">
        <v>23</v>
      </c>
      <c r="B300" s="16" t="s">
        <v>45</v>
      </c>
      <c r="C300" s="30">
        <v>25135</v>
      </c>
    </row>
    <row r="301" spans="1:3" x14ac:dyDescent="0.2">
      <c r="A301" s="17"/>
      <c r="B301" s="18" t="s">
        <v>46</v>
      </c>
      <c r="C301" s="31">
        <v>25895</v>
      </c>
    </row>
    <row r="302" spans="1:3" x14ac:dyDescent="0.2">
      <c r="A302" s="17"/>
      <c r="B302" s="18" t="s">
        <v>47</v>
      </c>
      <c r="C302" s="31">
        <v>39583</v>
      </c>
    </row>
    <row r="303" spans="1:3" x14ac:dyDescent="0.2">
      <c r="A303" s="17"/>
      <c r="B303" s="18" t="s">
        <v>48</v>
      </c>
      <c r="C303" s="31">
        <v>40041</v>
      </c>
    </row>
    <row r="304" spans="1:3" x14ac:dyDescent="0.2">
      <c r="A304" s="17"/>
      <c r="B304" s="18" t="s">
        <v>49</v>
      </c>
      <c r="C304" s="31">
        <v>25188</v>
      </c>
    </row>
    <row r="305" spans="1:3" x14ac:dyDescent="0.2">
      <c r="A305" s="17"/>
      <c r="B305" s="18" t="s">
        <v>50</v>
      </c>
      <c r="C305" s="31">
        <v>13937</v>
      </c>
    </row>
    <row r="306" spans="1:3" x14ac:dyDescent="0.2">
      <c r="A306" s="17"/>
      <c r="B306" s="18" t="s">
        <v>51</v>
      </c>
      <c r="C306" s="31">
        <v>10072</v>
      </c>
    </row>
    <row r="307" spans="1:3" x14ac:dyDescent="0.2">
      <c r="A307" s="17"/>
      <c r="B307" s="18" t="s">
        <v>52</v>
      </c>
      <c r="C307" s="31">
        <v>5907</v>
      </c>
    </row>
    <row r="308" spans="1:3" x14ac:dyDescent="0.2">
      <c r="A308" s="17"/>
      <c r="B308" s="18" t="s">
        <v>53</v>
      </c>
      <c r="C308" s="31">
        <v>7286</v>
      </c>
    </row>
    <row r="309" spans="1:3" x14ac:dyDescent="0.2">
      <c r="A309" s="17"/>
      <c r="B309" s="18" t="s">
        <v>54</v>
      </c>
      <c r="C309" s="31">
        <v>10361</v>
      </c>
    </row>
    <row r="310" spans="1:3" x14ac:dyDescent="0.2">
      <c r="A310" s="17"/>
      <c r="B310" s="18" t="s">
        <v>55</v>
      </c>
      <c r="C310" s="31">
        <v>7521</v>
      </c>
    </row>
    <row r="311" spans="1:3" x14ac:dyDescent="0.2">
      <c r="A311" s="17"/>
      <c r="B311" s="18" t="s">
        <v>56</v>
      </c>
      <c r="C311" s="31">
        <v>14864</v>
      </c>
    </row>
    <row r="312" spans="1:3" s="3" customFormat="1" x14ac:dyDescent="0.2">
      <c r="A312" s="24" t="s">
        <v>80</v>
      </c>
      <c r="B312" s="29"/>
      <c r="C312" s="23">
        <v>225790</v>
      </c>
    </row>
    <row r="313" spans="1:3" x14ac:dyDescent="0.2">
      <c r="A313" s="16" t="s">
        <v>24</v>
      </c>
      <c r="B313" s="16" t="s">
        <v>45</v>
      </c>
      <c r="C313" s="30">
        <v>18053</v>
      </c>
    </row>
    <row r="314" spans="1:3" x14ac:dyDescent="0.2">
      <c r="A314" s="17"/>
      <c r="B314" s="18" t="s">
        <v>46</v>
      </c>
      <c r="C314" s="31">
        <v>17273</v>
      </c>
    </row>
    <row r="315" spans="1:3" x14ac:dyDescent="0.2">
      <c r="A315" s="17"/>
      <c r="B315" s="18" t="s">
        <v>47</v>
      </c>
      <c r="C315" s="31">
        <v>16823</v>
      </c>
    </row>
    <row r="316" spans="1:3" x14ac:dyDescent="0.2">
      <c r="A316" s="17"/>
      <c r="B316" s="18" t="s">
        <v>48</v>
      </c>
      <c r="C316" s="31">
        <v>17295</v>
      </c>
    </row>
    <row r="317" spans="1:3" x14ac:dyDescent="0.2">
      <c r="A317" s="17"/>
      <c r="B317" s="18" t="s">
        <v>49</v>
      </c>
      <c r="C317" s="31">
        <v>17616</v>
      </c>
    </row>
    <row r="318" spans="1:3" x14ac:dyDescent="0.2">
      <c r="A318" s="17"/>
      <c r="B318" s="18" t="s">
        <v>50</v>
      </c>
      <c r="C318" s="31">
        <v>11756</v>
      </c>
    </row>
    <row r="319" spans="1:3" x14ac:dyDescent="0.2">
      <c r="A319" s="17"/>
      <c r="B319" s="18" t="s">
        <v>51</v>
      </c>
      <c r="C319" s="31">
        <v>4299</v>
      </c>
    </row>
    <row r="320" spans="1:3" x14ac:dyDescent="0.2">
      <c r="A320" s="17"/>
      <c r="B320" s="18" t="s">
        <v>52</v>
      </c>
      <c r="C320" s="31">
        <v>4097</v>
      </c>
    </row>
    <row r="321" spans="1:3" x14ac:dyDescent="0.2">
      <c r="A321" s="17"/>
      <c r="B321" s="18" t="s">
        <v>53</v>
      </c>
      <c r="C321" s="31">
        <v>4887</v>
      </c>
    </row>
    <row r="322" spans="1:3" x14ac:dyDescent="0.2">
      <c r="A322" s="17"/>
      <c r="B322" s="18" t="s">
        <v>54</v>
      </c>
      <c r="C322" s="31">
        <v>4585</v>
      </c>
    </row>
    <row r="323" spans="1:3" x14ac:dyDescent="0.2">
      <c r="A323" s="17"/>
      <c r="B323" s="18" t="s">
        <v>55</v>
      </c>
      <c r="C323" s="31">
        <v>4207</v>
      </c>
    </row>
    <row r="324" spans="1:3" x14ac:dyDescent="0.2">
      <c r="A324" s="17"/>
      <c r="B324" s="18" t="s">
        <v>56</v>
      </c>
      <c r="C324" s="31">
        <v>5272</v>
      </c>
    </row>
    <row r="325" spans="1:3" s="3" customFormat="1" x14ac:dyDescent="0.2">
      <c r="A325" s="24" t="s">
        <v>81</v>
      </c>
      <c r="B325" s="29"/>
      <c r="C325" s="23">
        <v>126163</v>
      </c>
    </row>
    <row r="326" spans="1:3" x14ac:dyDescent="0.2">
      <c r="A326" s="16" t="s">
        <v>25</v>
      </c>
      <c r="B326" s="16" t="s">
        <v>45</v>
      </c>
      <c r="C326" s="30">
        <v>18310</v>
      </c>
    </row>
    <row r="327" spans="1:3" x14ac:dyDescent="0.2">
      <c r="A327" s="17"/>
      <c r="B327" s="18" t="s">
        <v>46</v>
      </c>
      <c r="C327" s="31">
        <v>13396</v>
      </c>
    </row>
    <row r="328" spans="1:3" x14ac:dyDescent="0.2">
      <c r="A328" s="17"/>
      <c r="B328" s="18" t="s">
        <v>47</v>
      </c>
      <c r="C328" s="31">
        <v>14811</v>
      </c>
    </row>
    <row r="329" spans="1:3" x14ac:dyDescent="0.2">
      <c r="A329" s="17"/>
      <c r="B329" s="18" t="s">
        <v>48</v>
      </c>
      <c r="C329" s="31">
        <v>23524</v>
      </c>
    </row>
    <row r="330" spans="1:3" x14ac:dyDescent="0.2">
      <c r="A330" s="17"/>
      <c r="B330" s="18" t="s">
        <v>49</v>
      </c>
      <c r="C330" s="31">
        <v>16159</v>
      </c>
    </row>
    <row r="331" spans="1:3" x14ac:dyDescent="0.2">
      <c r="A331" s="17"/>
      <c r="B331" s="18" t="s">
        <v>50</v>
      </c>
      <c r="C331" s="31">
        <v>12762</v>
      </c>
    </row>
    <row r="332" spans="1:3" x14ac:dyDescent="0.2">
      <c r="A332" s="17"/>
      <c r="B332" s="18" t="s">
        <v>51</v>
      </c>
      <c r="C332" s="31">
        <v>4904</v>
      </c>
    </row>
    <row r="333" spans="1:3" x14ac:dyDescent="0.2">
      <c r="A333" s="17"/>
      <c r="B333" s="18" t="s">
        <v>52</v>
      </c>
      <c r="C333" s="31">
        <v>3082</v>
      </c>
    </row>
    <row r="334" spans="1:3" x14ac:dyDescent="0.2">
      <c r="A334" s="17"/>
      <c r="B334" s="18" t="s">
        <v>53</v>
      </c>
      <c r="C334" s="31">
        <v>2397</v>
      </c>
    </row>
    <row r="335" spans="1:3" x14ac:dyDescent="0.2">
      <c r="A335" s="17"/>
      <c r="B335" s="18" t="s">
        <v>54</v>
      </c>
      <c r="C335" s="31">
        <v>2412</v>
      </c>
    </row>
    <row r="336" spans="1:3" x14ac:dyDescent="0.2">
      <c r="A336" s="17"/>
      <c r="B336" s="18" t="s">
        <v>55</v>
      </c>
      <c r="C336" s="31">
        <v>1504</v>
      </c>
    </row>
    <row r="337" spans="1:3" x14ac:dyDescent="0.2">
      <c r="A337" s="17"/>
      <c r="B337" s="18" t="s">
        <v>56</v>
      </c>
      <c r="C337" s="31">
        <v>1012</v>
      </c>
    </row>
    <row r="338" spans="1:3" s="3" customFormat="1" x14ac:dyDescent="0.2">
      <c r="A338" s="24" t="s">
        <v>82</v>
      </c>
      <c r="B338" s="29"/>
      <c r="C338" s="23">
        <v>114273</v>
      </c>
    </row>
    <row r="339" spans="1:3" x14ac:dyDescent="0.2">
      <c r="A339" s="16" t="s">
        <v>26</v>
      </c>
      <c r="B339" s="16" t="s">
        <v>45</v>
      </c>
      <c r="C339" s="30">
        <v>26013</v>
      </c>
    </row>
    <row r="340" spans="1:3" x14ac:dyDescent="0.2">
      <c r="A340" s="17"/>
      <c r="B340" s="18" t="s">
        <v>46</v>
      </c>
      <c r="C340" s="31">
        <v>23296</v>
      </c>
    </row>
    <row r="341" spans="1:3" x14ac:dyDescent="0.2">
      <c r="A341" s="17"/>
      <c r="B341" s="18" t="s">
        <v>47</v>
      </c>
      <c r="C341" s="31">
        <v>35241</v>
      </c>
    </row>
    <row r="342" spans="1:3" x14ac:dyDescent="0.2">
      <c r="A342" s="17"/>
      <c r="B342" s="18" t="s">
        <v>48</v>
      </c>
      <c r="C342" s="31">
        <v>35297</v>
      </c>
    </row>
    <row r="343" spans="1:3" x14ac:dyDescent="0.2">
      <c r="A343" s="17"/>
      <c r="B343" s="18" t="s">
        <v>49</v>
      </c>
      <c r="C343" s="31">
        <v>15808</v>
      </c>
    </row>
    <row r="344" spans="1:3" x14ac:dyDescent="0.2">
      <c r="A344" s="17"/>
      <c r="B344" s="18" t="s">
        <v>50</v>
      </c>
      <c r="C344" s="31">
        <v>13683</v>
      </c>
    </row>
    <row r="345" spans="1:3" x14ac:dyDescent="0.2">
      <c r="A345" s="17"/>
      <c r="B345" s="18" t="s">
        <v>51</v>
      </c>
      <c r="C345" s="31">
        <v>17083</v>
      </c>
    </row>
    <row r="346" spans="1:3" x14ac:dyDescent="0.2">
      <c r="A346" s="17"/>
      <c r="B346" s="18" t="s">
        <v>52</v>
      </c>
      <c r="C346" s="31">
        <v>15936</v>
      </c>
    </row>
    <row r="347" spans="1:3" x14ac:dyDescent="0.2">
      <c r="A347" s="17"/>
      <c r="B347" s="18" t="s">
        <v>53</v>
      </c>
      <c r="C347" s="31">
        <v>8376</v>
      </c>
    </row>
    <row r="348" spans="1:3" x14ac:dyDescent="0.2">
      <c r="A348" s="17"/>
      <c r="B348" s="18" t="s">
        <v>54</v>
      </c>
      <c r="C348" s="31">
        <v>11138</v>
      </c>
    </row>
    <row r="349" spans="1:3" x14ac:dyDescent="0.2">
      <c r="A349" s="17"/>
      <c r="B349" s="18" t="s">
        <v>55</v>
      </c>
      <c r="C349" s="31">
        <v>7735</v>
      </c>
    </row>
    <row r="350" spans="1:3" x14ac:dyDescent="0.2">
      <c r="A350" s="17"/>
      <c r="B350" s="18" t="s">
        <v>56</v>
      </c>
      <c r="C350" s="31">
        <v>5925</v>
      </c>
    </row>
    <row r="351" spans="1:3" s="3" customFormat="1" x14ac:dyDescent="0.2">
      <c r="A351" s="24" t="s">
        <v>83</v>
      </c>
      <c r="B351" s="29"/>
      <c r="C351" s="23">
        <v>215531</v>
      </c>
    </row>
    <row r="352" spans="1:3" x14ac:dyDescent="0.2">
      <c r="A352" s="16" t="s">
        <v>27</v>
      </c>
      <c r="B352" s="16" t="s">
        <v>45</v>
      </c>
      <c r="C352" s="30">
        <v>28453</v>
      </c>
    </row>
    <row r="353" spans="1:3" x14ac:dyDescent="0.2">
      <c r="A353" s="17"/>
      <c r="B353" s="18" t="s">
        <v>46</v>
      </c>
      <c r="C353" s="31">
        <v>33363</v>
      </c>
    </row>
    <row r="354" spans="1:3" x14ac:dyDescent="0.2">
      <c r="A354" s="17"/>
      <c r="B354" s="18" t="s">
        <v>47</v>
      </c>
      <c r="C354" s="31">
        <v>40456</v>
      </c>
    </row>
    <row r="355" spans="1:3" x14ac:dyDescent="0.2">
      <c r="A355" s="17"/>
      <c r="B355" s="18" t="s">
        <v>48</v>
      </c>
      <c r="C355" s="31">
        <v>33901</v>
      </c>
    </row>
    <row r="356" spans="1:3" x14ac:dyDescent="0.2">
      <c r="A356" s="17"/>
      <c r="B356" s="18" t="s">
        <v>49</v>
      </c>
      <c r="C356" s="31">
        <v>30837</v>
      </c>
    </row>
    <row r="357" spans="1:3" x14ac:dyDescent="0.2">
      <c r="A357" s="17"/>
      <c r="B357" s="18" t="s">
        <v>50</v>
      </c>
      <c r="C357" s="31">
        <v>12976</v>
      </c>
    </row>
    <row r="358" spans="1:3" x14ac:dyDescent="0.2">
      <c r="A358" s="17"/>
      <c r="B358" s="18" t="s">
        <v>51</v>
      </c>
      <c r="C358" s="31">
        <v>8061</v>
      </c>
    </row>
    <row r="359" spans="1:3" x14ac:dyDescent="0.2">
      <c r="A359" s="17"/>
      <c r="B359" s="18" t="s">
        <v>52</v>
      </c>
      <c r="C359" s="31">
        <v>8235</v>
      </c>
    </row>
    <row r="360" spans="1:3" x14ac:dyDescent="0.2">
      <c r="A360" s="17"/>
      <c r="B360" s="18" t="s">
        <v>53</v>
      </c>
      <c r="C360" s="31">
        <v>11280</v>
      </c>
    </row>
    <row r="361" spans="1:3" x14ac:dyDescent="0.2">
      <c r="A361" s="17"/>
      <c r="B361" s="18" t="s">
        <v>54</v>
      </c>
      <c r="C361" s="31">
        <v>8417</v>
      </c>
    </row>
    <row r="362" spans="1:3" x14ac:dyDescent="0.2">
      <c r="A362" s="17"/>
      <c r="B362" s="18" t="s">
        <v>55</v>
      </c>
      <c r="C362" s="31">
        <v>7684</v>
      </c>
    </row>
    <row r="363" spans="1:3" x14ac:dyDescent="0.2">
      <c r="A363" s="17"/>
      <c r="B363" s="18" t="s">
        <v>56</v>
      </c>
      <c r="C363" s="31">
        <v>6410</v>
      </c>
    </row>
    <row r="364" spans="1:3" s="3" customFormat="1" x14ac:dyDescent="0.2">
      <c r="A364" s="24" t="s">
        <v>84</v>
      </c>
      <c r="B364" s="29"/>
      <c r="C364" s="23">
        <v>230073</v>
      </c>
    </row>
    <row r="365" spans="1:3" x14ac:dyDescent="0.2">
      <c r="A365" s="16" t="s">
        <v>28</v>
      </c>
      <c r="B365" s="16" t="s">
        <v>45</v>
      </c>
      <c r="C365" s="30">
        <v>49488</v>
      </c>
    </row>
    <row r="366" spans="1:3" x14ac:dyDescent="0.2">
      <c r="A366" s="17"/>
      <c r="B366" s="18" t="s">
        <v>46</v>
      </c>
      <c r="C366" s="31">
        <v>44541</v>
      </c>
    </row>
    <row r="367" spans="1:3" x14ac:dyDescent="0.2">
      <c r="A367" s="17"/>
      <c r="B367" s="18" t="s">
        <v>47</v>
      </c>
      <c r="C367" s="31">
        <v>46518</v>
      </c>
    </row>
    <row r="368" spans="1:3" x14ac:dyDescent="0.2">
      <c r="A368" s="17"/>
      <c r="B368" s="18" t="s">
        <v>48</v>
      </c>
      <c r="C368" s="31">
        <v>45999</v>
      </c>
    </row>
    <row r="369" spans="1:3" x14ac:dyDescent="0.2">
      <c r="A369" s="17"/>
      <c r="B369" s="18" t="s">
        <v>49</v>
      </c>
      <c r="C369" s="31">
        <v>37318</v>
      </c>
    </row>
    <row r="370" spans="1:3" x14ac:dyDescent="0.2">
      <c r="A370" s="17"/>
      <c r="B370" s="18" t="s">
        <v>50</v>
      </c>
      <c r="C370" s="31">
        <v>23718</v>
      </c>
    </row>
    <row r="371" spans="1:3" x14ac:dyDescent="0.2">
      <c r="A371" s="17"/>
      <c r="B371" s="18" t="s">
        <v>51</v>
      </c>
      <c r="C371" s="31">
        <v>14231</v>
      </c>
    </row>
    <row r="372" spans="1:3" x14ac:dyDescent="0.2">
      <c r="A372" s="17"/>
      <c r="B372" s="18" t="s">
        <v>52</v>
      </c>
      <c r="C372" s="31">
        <v>11631</v>
      </c>
    </row>
    <row r="373" spans="1:3" x14ac:dyDescent="0.2">
      <c r="A373" s="17"/>
      <c r="B373" s="18" t="s">
        <v>53</v>
      </c>
      <c r="C373" s="31">
        <v>16286</v>
      </c>
    </row>
    <row r="374" spans="1:3" x14ac:dyDescent="0.2">
      <c r="A374" s="17"/>
      <c r="B374" s="18" t="s">
        <v>54</v>
      </c>
      <c r="C374" s="31">
        <v>15373</v>
      </c>
    </row>
    <row r="375" spans="1:3" x14ac:dyDescent="0.2">
      <c r="A375" s="17"/>
      <c r="B375" s="18" t="s">
        <v>55</v>
      </c>
      <c r="C375" s="31">
        <v>14445</v>
      </c>
    </row>
    <row r="376" spans="1:3" x14ac:dyDescent="0.2">
      <c r="A376" s="17"/>
      <c r="B376" s="18" t="s">
        <v>56</v>
      </c>
      <c r="C376" s="31">
        <v>23035</v>
      </c>
    </row>
    <row r="377" spans="1:3" s="3" customFormat="1" x14ac:dyDescent="0.2">
      <c r="A377" s="24" t="s">
        <v>85</v>
      </c>
      <c r="B377" s="29"/>
      <c r="C377" s="23">
        <v>342583</v>
      </c>
    </row>
    <row r="378" spans="1:3" s="3" customFormat="1" x14ac:dyDescent="0.2">
      <c r="A378" s="24" t="s">
        <v>122</v>
      </c>
      <c r="B378" s="24" t="s">
        <v>44</v>
      </c>
      <c r="C378" s="23">
        <f>SUM(C14,C27,C40,C53,C65,C78,C91,C104,C117,C130,C143,C156,C169,C182,C195,C208,C221,C234,C247,C260,C273,C286,C299,C312,C325,C338,C351,C364,C377)</f>
        <v>6245213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0"/>
  <sheetViews>
    <sheetView workbookViewId="0"/>
  </sheetViews>
  <sheetFormatPr baseColWidth="10" defaultColWidth="8.83203125" defaultRowHeight="15" x14ac:dyDescent="0.2"/>
  <cols>
    <col min="1" max="1" width="18.6640625" customWidth="1"/>
    <col min="2" max="2" width="15" customWidth="1"/>
    <col min="3" max="3" width="13.83203125" customWidth="1"/>
  </cols>
  <sheetData>
    <row r="1" spans="1:3" ht="16" x14ac:dyDescent="0.2">
      <c r="A1" s="25" t="s">
        <v>30</v>
      </c>
      <c r="B1" s="25" t="s">
        <v>43</v>
      </c>
      <c r="C1" s="25" t="s">
        <v>123</v>
      </c>
    </row>
    <row r="2" spans="1:3" x14ac:dyDescent="0.2">
      <c r="A2" s="16" t="s">
        <v>0</v>
      </c>
      <c r="B2" s="15" t="s">
        <v>86</v>
      </c>
      <c r="C2" s="21">
        <v>30768.981264637005</v>
      </c>
    </row>
    <row r="3" spans="1:3" x14ac:dyDescent="0.2">
      <c r="A3" s="17"/>
      <c r="B3" s="15" t="s">
        <v>87</v>
      </c>
      <c r="C3" s="21">
        <v>23491.245901639344</v>
      </c>
    </row>
    <row r="4" spans="1:3" x14ac:dyDescent="0.2">
      <c r="A4" s="17"/>
      <c r="B4" s="15" t="s">
        <v>88</v>
      </c>
      <c r="C4" s="21">
        <v>30489.489461358309</v>
      </c>
    </row>
    <row r="5" spans="1:3" x14ac:dyDescent="0.2">
      <c r="A5" s="17"/>
      <c r="B5" s="15" t="s">
        <v>89</v>
      </c>
      <c r="C5" s="21">
        <v>1287</v>
      </c>
    </row>
    <row r="6" spans="1:3" x14ac:dyDescent="0.2">
      <c r="A6" s="17"/>
      <c r="B6" s="15" t="s">
        <v>90</v>
      </c>
      <c r="C6" s="21">
        <v>20456.023419203746</v>
      </c>
    </row>
    <row r="7" spans="1:3" x14ac:dyDescent="0.2">
      <c r="A7" s="17"/>
      <c r="B7" s="15" t="s">
        <v>91</v>
      </c>
      <c r="C7" s="21">
        <v>14651.119437939109</v>
      </c>
    </row>
    <row r="8" spans="1:3" x14ac:dyDescent="0.2">
      <c r="A8" s="17"/>
      <c r="B8" s="15" t="s">
        <v>92</v>
      </c>
      <c r="C8" s="21">
        <v>6652.6978922716626</v>
      </c>
    </row>
    <row r="9" spans="1:3" x14ac:dyDescent="0.2">
      <c r="A9" s="17"/>
      <c r="B9" s="15" t="s">
        <v>93</v>
      </c>
      <c r="C9" s="21">
        <v>5749.5456674473062</v>
      </c>
    </row>
    <row r="10" spans="1:3" x14ac:dyDescent="0.2">
      <c r="A10" s="17"/>
      <c r="B10" s="15" t="s">
        <v>94</v>
      </c>
      <c r="C10" s="21">
        <v>7226.9391100702578</v>
      </c>
    </row>
    <row r="11" spans="1:3" x14ac:dyDescent="0.2">
      <c r="A11" s="17"/>
      <c r="B11" s="15" t="s">
        <v>95</v>
      </c>
      <c r="C11" s="21">
        <v>4610.1241217798597</v>
      </c>
    </row>
    <row r="12" spans="1:3" x14ac:dyDescent="0.2">
      <c r="A12" s="17"/>
      <c r="B12" s="15" t="s">
        <v>96</v>
      </c>
      <c r="C12" s="21">
        <v>4142.1100702576114</v>
      </c>
    </row>
    <row r="13" spans="1:3" x14ac:dyDescent="0.2">
      <c r="A13" s="17"/>
      <c r="B13" s="15" t="s">
        <v>97</v>
      </c>
      <c r="C13" s="21">
        <v>11917.763466042154</v>
      </c>
    </row>
    <row r="14" spans="1:3" x14ac:dyDescent="0.2">
      <c r="A14" s="24" t="s">
        <v>57</v>
      </c>
      <c r="B14" s="14"/>
      <c r="C14" s="22">
        <f>SUM(C2:C13)</f>
        <v>161443.03981264637</v>
      </c>
    </row>
    <row r="15" spans="1:3" x14ac:dyDescent="0.2">
      <c r="A15" s="16" t="s">
        <v>1</v>
      </c>
      <c r="B15" s="15" t="s">
        <v>86</v>
      </c>
      <c r="C15" s="21">
        <v>41699.419203747071</v>
      </c>
    </row>
    <row r="16" spans="1:3" x14ac:dyDescent="0.2">
      <c r="A16" s="17"/>
      <c r="B16" s="15" t="s">
        <v>87</v>
      </c>
      <c r="C16" s="21">
        <v>45967.28571428571</v>
      </c>
    </row>
    <row r="17" spans="1:3" x14ac:dyDescent="0.2">
      <c r="A17" s="17"/>
      <c r="B17" s="15" t="s">
        <v>88</v>
      </c>
      <c r="C17" s="21">
        <v>55318.088992974241</v>
      </c>
    </row>
    <row r="18" spans="1:3" x14ac:dyDescent="0.2">
      <c r="A18" s="17"/>
      <c r="B18" s="15" t="s">
        <v>89</v>
      </c>
      <c r="C18" s="21">
        <v>3999.1779859484777</v>
      </c>
    </row>
    <row r="19" spans="1:3" x14ac:dyDescent="0.2">
      <c r="A19" s="17"/>
      <c r="B19" s="15" t="s">
        <v>90</v>
      </c>
      <c r="C19" s="21">
        <v>44705.908665105388</v>
      </c>
    </row>
    <row r="20" spans="1:3" x14ac:dyDescent="0.2">
      <c r="A20" s="17"/>
      <c r="B20" s="15" t="s">
        <v>91</v>
      </c>
      <c r="C20" s="21">
        <v>27176.728337236535</v>
      </c>
    </row>
    <row r="21" spans="1:3" x14ac:dyDescent="0.2">
      <c r="A21" s="17"/>
      <c r="B21" s="15" t="s">
        <v>92</v>
      </c>
      <c r="C21" s="21">
        <v>18373.974238875879</v>
      </c>
    </row>
    <row r="22" spans="1:3" x14ac:dyDescent="0.2">
      <c r="A22" s="17"/>
      <c r="B22" s="15" t="s">
        <v>93</v>
      </c>
      <c r="C22" s="21">
        <v>12823.159250585479</v>
      </c>
    </row>
    <row r="23" spans="1:3" x14ac:dyDescent="0.2">
      <c r="A23" s="17"/>
      <c r="B23" s="15" t="s">
        <v>94</v>
      </c>
      <c r="C23" s="21">
        <v>12017.028103044497</v>
      </c>
    </row>
    <row r="24" spans="1:3" x14ac:dyDescent="0.2">
      <c r="A24" s="17"/>
      <c r="B24" s="15" t="s">
        <v>95</v>
      </c>
      <c r="C24" s="21">
        <v>14214.632318501172</v>
      </c>
    </row>
    <row r="25" spans="1:3" x14ac:dyDescent="0.2">
      <c r="A25" s="17"/>
      <c r="B25" s="15" t="s">
        <v>96</v>
      </c>
      <c r="C25" s="21">
        <v>11434.503512880561</v>
      </c>
    </row>
    <row r="26" spans="1:3" x14ac:dyDescent="0.2">
      <c r="A26" s="17"/>
      <c r="B26" s="15" t="s">
        <v>97</v>
      </c>
      <c r="C26" s="21">
        <v>24589.489461358313</v>
      </c>
    </row>
    <row r="27" spans="1:3" x14ac:dyDescent="0.2">
      <c r="A27" s="24" t="s">
        <v>58</v>
      </c>
      <c r="B27" s="14"/>
      <c r="C27" s="22">
        <f>SUM(C15:C26)</f>
        <v>312319.39578454325</v>
      </c>
    </row>
    <row r="28" spans="1:3" x14ac:dyDescent="0.2">
      <c r="A28" s="16" t="s">
        <v>2</v>
      </c>
      <c r="B28" s="15" t="s">
        <v>86</v>
      </c>
      <c r="C28" s="21">
        <v>21213.632318501172</v>
      </c>
    </row>
    <row r="29" spans="1:3" x14ac:dyDescent="0.2">
      <c r="A29" s="17"/>
      <c r="B29" s="15" t="s">
        <v>87</v>
      </c>
      <c r="C29" s="21">
        <v>26510.362997658078</v>
      </c>
    </row>
    <row r="30" spans="1:3" x14ac:dyDescent="0.2">
      <c r="A30" s="17"/>
      <c r="B30" s="15" t="s">
        <v>88</v>
      </c>
      <c r="C30" s="21">
        <v>22080.639344262294</v>
      </c>
    </row>
    <row r="31" spans="1:3" x14ac:dyDescent="0.2">
      <c r="A31" s="17"/>
      <c r="B31" s="15" t="s">
        <v>89</v>
      </c>
      <c r="C31" s="21">
        <v>12444.042154566745</v>
      </c>
    </row>
    <row r="32" spans="1:3" x14ac:dyDescent="0.2">
      <c r="A32" s="17"/>
      <c r="B32" s="15" t="s">
        <v>90</v>
      </c>
      <c r="C32" s="21">
        <v>20226.295081967211</v>
      </c>
    </row>
    <row r="33" spans="1:3" x14ac:dyDescent="0.2">
      <c r="A33" s="17"/>
      <c r="B33" s="15" t="s">
        <v>91</v>
      </c>
      <c r="C33" s="21">
        <v>18604.236533957846</v>
      </c>
    </row>
    <row r="34" spans="1:3" x14ac:dyDescent="0.2">
      <c r="A34" s="17"/>
      <c r="B34" s="15" t="s">
        <v>92</v>
      </c>
      <c r="C34" s="21">
        <v>13990.400468384076</v>
      </c>
    </row>
    <row r="35" spans="1:3" x14ac:dyDescent="0.2">
      <c r="A35" s="17"/>
      <c r="B35" s="15" t="s">
        <v>93</v>
      </c>
      <c r="C35" s="21">
        <v>11623.889929742389</v>
      </c>
    </row>
    <row r="36" spans="1:3" x14ac:dyDescent="0.2">
      <c r="A36" s="17"/>
      <c r="B36" s="15" t="s">
        <v>94</v>
      </c>
      <c r="C36" s="21">
        <v>10149.332552693208</v>
      </c>
    </row>
    <row r="37" spans="1:3" x14ac:dyDescent="0.2">
      <c r="A37" s="17"/>
      <c r="B37" s="15" t="s">
        <v>95</v>
      </c>
      <c r="C37" s="21">
        <v>6792.2435597189688</v>
      </c>
    </row>
    <row r="38" spans="1:3" x14ac:dyDescent="0.2">
      <c r="A38" s="17"/>
      <c r="B38" s="15" t="s">
        <v>96</v>
      </c>
      <c r="C38" s="21">
        <v>4172.3302107728341</v>
      </c>
    </row>
    <row r="39" spans="1:3" x14ac:dyDescent="0.2">
      <c r="A39" s="17"/>
      <c r="B39" s="15" t="s">
        <v>97</v>
      </c>
      <c r="C39" s="21">
        <v>4153.5901639344265</v>
      </c>
    </row>
    <row r="40" spans="1:3" x14ac:dyDescent="0.2">
      <c r="A40" s="24" t="s">
        <v>59</v>
      </c>
      <c r="B40" s="14"/>
      <c r="C40" s="22">
        <f>SUM(C28:C39)</f>
        <v>171960.99531615924</v>
      </c>
    </row>
    <row r="41" spans="1:3" x14ac:dyDescent="0.2">
      <c r="A41" s="16" t="s">
        <v>3</v>
      </c>
      <c r="B41" s="15" t="s">
        <v>86</v>
      </c>
      <c r="C41" s="21">
        <v>15070.697892271663</v>
      </c>
    </row>
    <row r="42" spans="1:3" x14ac:dyDescent="0.2">
      <c r="A42" s="17"/>
      <c r="B42" s="15" t="s">
        <v>87</v>
      </c>
      <c r="C42" s="21">
        <v>13423.576112412178</v>
      </c>
    </row>
    <row r="43" spans="1:3" x14ac:dyDescent="0.2">
      <c r="A43" s="17"/>
      <c r="B43" s="15" t="s">
        <v>88</v>
      </c>
      <c r="C43" s="21">
        <v>18953.035128805619</v>
      </c>
    </row>
    <row r="44" spans="1:3" x14ac:dyDescent="0.2">
      <c r="A44" s="17"/>
      <c r="B44" s="15" t="s">
        <v>89</v>
      </c>
      <c r="C44" s="21">
        <v>1118.8079625292739</v>
      </c>
    </row>
    <row r="45" spans="1:3" x14ac:dyDescent="0.2">
      <c r="A45" s="17"/>
      <c r="B45" s="15" t="s">
        <v>90</v>
      </c>
      <c r="C45" s="21">
        <v>18586.674473067913</v>
      </c>
    </row>
    <row r="46" spans="1:3" x14ac:dyDescent="0.2">
      <c r="A46" s="17"/>
      <c r="B46" s="15" t="s">
        <v>91</v>
      </c>
      <c r="C46" s="21">
        <v>8109.6088992974237</v>
      </c>
    </row>
    <row r="47" spans="1:3" x14ac:dyDescent="0.2">
      <c r="A47" s="17"/>
      <c r="B47" s="15" t="s">
        <v>92</v>
      </c>
      <c r="C47" s="21">
        <v>4213.7306791569081</v>
      </c>
    </row>
    <row r="48" spans="1:3" x14ac:dyDescent="0.2">
      <c r="A48" s="17"/>
      <c r="B48" s="15" t="s">
        <v>93</v>
      </c>
      <c r="C48" s="21">
        <v>4464.3185011709602</v>
      </c>
    </row>
    <row r="49" spans="1:3" x14ac:dyDescent="0.2">
      <c r="A49" s="17"/>
      <c r="B49" s="15" t="s">
        <v>94</v>
      </c>
      <c r="C49" s="21">
        <v>1581.423887587822</v>
      </c>
    </row>
    <row r="50" spans="1:3" x14ac:dyDescent="0.2">
      <c r="A50" s="17"/>
      <c r="B50" s="15" t="s">
        <v>95</v>
      </c>
      <c r="C50" s="21">
        <v>1733.7002341920374</v>
      </c>
    </row>
    <row r="51" spans="1:3" x14ac:dyDescent="0.2">
      <c r="A51" s="17"/>
      <c r="B51" s="15" t="s">
        <v>96</v>
      </c>
      <c r="C51" s="21">
        <v>2234.1170960187351</v>
      </c>
    </row>
    <row r="52" spans="1:3" x14ac:dyDescent="0.2">
      <c r="A52" s="17"/>
      <c r="B52" s="15" t="s">
        <v>97</v>
      </c>
      <c r="C52" s="21">
        <v>2654.3981264637005</v>
      </c>
    </row>
    <row r="53" spans="1:3" x14ac:dyDescent="0.2">
      <c r="A53" s="24" t="s">
        <v>60</v>
      </c>
      <c r="B53" s="14"/>
      <c r="C53" s="22">
        <f>SUM(C41:C52)</f>
        <v>92144.088992974212</v>
      </c>
    </row>
    <row r="54" spans="1:3" x14ac:dyDescent="0.2">
      <c r="A54" s="16" t="s">
        <v>4</v>
      </c>
      <c r="B54" s="15" t="s">
        <v>86</v>
      </c>
      <c r="C54" s="21">
        <v>6781.1124121779858</v>
      </c>
    </row>
    <row r="55" spans="1:3" x14ac:dyDescent="0.2">
      <c r="A55" s="17"/>
      <c r="B55" s="15" t="s">
        <v>87</v>
      </c>
      <c r="C55" s="21">
        <v>7367.5831381733024</v>
      </c>
    </row>
    <row r="56" spans="1:3" x14ac:dyDescent="0.2">
      <c r="A56" s="17"/>
      <c r="B56" s="15" t="s">
        <v>88</v>
      </c>
      <c r="C56" s="21">
        <v>5194.1522248243555</v>
      </c>
    </row>
    <row r="57" spans="1:3" x14ac:dyDescent="0.2">
      <c r="A57" s="17"/>
      <c r="B57" s="15" t="s">
        <v>89</v>
      </c>
      <c r="C57" s="21">
        <v>10510.346604215458</v>
      </c>
    </row>
    <row r="58" spans="1:3" x14ac:dyDescent="0.2">
      <c r="A58" s="17"/>
      <c r="B58" s="15" t="s">
        <v>90</v>
      </c>
      <c r="C58" s="21">
        <v>12898.7868852459</v>
      </c>
    </row>
    <row r="59" spans="1:3" x14ac:dyDescent="0.2">
      <c r="A59" s="17"/>
      <c r="B59" s="15" t="s">
        <v>91</v>
      </c>
      <c r="C59" s="21">
        <v>2612.473067915691</v>
      </c>
    </row>
    <row r="60" spans="1:3" x14ac:dyDescent="0.2">
      <c r="A60" s="17"/>
      <c r="B60" s="15" t="s">
        <v>92</v>
      </c>
      <c r="C60" s="21">
        <v>5629.9672131147545</v>
      </c>
    </row>
    <row r="61" spans="1:3" x14ac:dyDescent="0.2">
      <c r="A61" s="17"/>
      <c r="B61" s="15" t="s">
        <v>93</v>
      </c>
      <c r="C61" s="21">
        <v>3775.8266978922716</v>
      </c>
    </row>
    <row r="62" spans="1:3" x14ac:dyDescent="0.2">
      <c r="A62" s="17"/>
      <c r="B62" s="15" t="s">
        <v>94</v>
      </c>
      <c r="C62" s="21">
        <v>1757.8079625292739</v>
      </c>
    </row>
    <row r="63" spans="1:3" x14ac:dyDescent="0.2">
      <c r="A63" s="17"/>
      <c r="B63" s="15" t="s">
        <v>95</v>
      </c>
      <c r="C63" s="21">
        <v>1757.295081967213</v>
      </c>
    </row>
    <row r="64" spans="1:3" x14ac:dyDescent="0.2">
      <c r="A64" s="17"/>
      <c r="B64" s="15" t="s">
        <v>96</v>
      </c>
      <c r="C64" s="21">
        <v>2753.4637002341919</v>
      </c>
    </row>
    <row r="65" spans="1:3" x14ac:dyDescent="0.2">
      <c r="A65" s="17"/>
      <c r="B65" s="15" t="s">
        <v>97</v>
      </c>
      <c r="C65" s="21">
        <v>6835.7213114754095</v>
      </c>
    </row>
    <row r="66" spans="1:3" x14ac:dyDescent="0.2">
      <c r="A66" s="24" t="s">
        <v>61</v>
      </c>
      <c r="B66" s="14"/>
      <c r="C66" s="22">
        <f>SUM(C54:C65)</f>
        <v>67874.536299765794</v>
      </c>
    </row>
    <row r="67" spans="1:3" x14ac:dyDescent="0.2">
      <c r="A67" s="16" t="s">
        <v>5</v>
      </c>
      <c r="B67" s="15" t="s">
        <v>86</v>
      </c>
      <c r="C67" s="21">
        <v>54372.274004683844</v>
      </c>
    </row>
    <row r="68" spans="1:3" x14ac:dyDescent="0.2">
      <c r="A68" s="17"/>
      <c r="B68" s="15" t="s">
        <v>87</v>
      </c>
      <c r="C68" s="21">
        <v>38899.278688524588</v>
      </c>
    </row>
    <row r="69" spans="1:3" x14ac:dyDescent="0.2">
      <c r="A69" s="17"/>
      <c r="B69" s="15" t="s">
        <v>88</v>
      </c>
      <c r="C69" s="21">
        <v>39573.962529274002</v>
      </c>
    </row>
    <row r="70" spans="1:3" x14ac:dyDescent="0.2">
      <c r="A70" s="17"/>
      <c r="B70" s="15" t="s">
        <v>89</v>
      </c>
      <c r="C70" s="21">
        <v>7277.8688524590161</v>
      </c>
    </row>
    <row r="71" spans="1:3" x14ac:dyDescent="0.2">
      <c r="A71" s="17"/>
      <c r="B71" s="15" t="s">
        <v>90</v>
      </c>
      <c r="C71" s="21">
        <v>29009.114754098358</v>
      </c>
    </row>
    <row r="72" spans="1:3" x14ac:dyDescent="0.2">
      <c r="A72" s="17"/>
      <c r="B72" s="15" t="s">
        <v>91</v>
      </c>
      <c r="C72" s="21">
        <v>20660.210772833725</v>
      </c>
    </row>
    <row r="73" spans="1:3" x14ac:dyDescent="0.2">
      <c r="A73" s="17"/>
      <c r="B73" s="15" t="s">
        <v>92</v>
      </c>
      <c r="C73" s="21">
        <v>14091.386416861827</v>
      </c>
    </row>
    <row r="74" spans="1:3" x14ac:dyDescent="0.2">
      <c r="A74" s="17"/>
      <c r="B74" s="15" t="s">
        <v>93</v>
      </c>
      <c r="C74" s="21">
        <v>9900.9133489461346</v>
      </c>
    </row>
    <row r="75" spans="1:3" x14ac:dyDescent="0.2">
      <c r="A75" s="17"/>
      <c r="B75" s="15" t="s">
        <v>94</v>
      </c>
      <c r="C75" s="21">
        <v>9260.4379391100701</v>
      </c>
    </row>
    <row r="76" spans="1:3" x14ac:dyDescent="0.2">
      <c r="A76" s="17"/>
      <c r="B76" s="15" t="s">
        <v>95</v>
      </c>
      <c r="C76" s="21">
        <v>15018.365339578453</v>
      </c>
    </row>
    <row r="77" spans="1:3" x14ac:dyDescent="0.2">
      <c r="A77" s="17"/>
      <c r="B77" s="15" t="s">
        <v>96</v>
      </c>
      <c r="C77" s="21">
        <v>12365.140515222483</v>
      </c>
    </row>
    <row r="78" spans="1:3" x14ac:dyDescent="0.2">
      <c r="A78" s="17"/>
      <c r="B78" s="15" t="s">
        <v>97</v>
      </c>
      <c r="C78" s="21">
        <v>14932.578454332554</v>
      </c>
    </row>
    <row r="79" spans="1:3" x14ac:dyDescent="0.2">
      <c r="A79" s="24" t="s">
        <v>62</v>
      </c>
      <c r="B79" s="14"/>
      <c r="C79" s="22">
        <f>SUM(C67:C78)</f>
        <v>265361.53161592502</v>
      </c>
    </row>
    <row r="80" spans="1:3" x14ac:dyDescent="0.2">
      <c r="A80" s="16" t="s">
        <v>6</v>
      </c>
      <c r="B80" s="15" t="s">
        <v>86</v>
      </c>
      <c r="C80" s="21">
        <v>41879.648711943795</v>
      </c>
    </row>
    <row r="81" spans="1:3" x14ac:dyDescent="0.2">
      <c r="A81" s="17"/>
      <c r="B81" s="15" t="s">
        <v>87</v>
      </c>
      <c r="C81" s="21">
        <v>30208.697892271659</v>
      </c>
    </row>
    <row r="82" spans="1:3" x14ac:dyDescent="0.2">
      <c r="A82" s="17"/>
      <c r="B82" s="15" t="s">
        <v>88</v>
      </c>
      <c r="C82" s="21">
        <v>32293.925058548008</v>
      </c>
    </row>
    <row r="83" spans="1:3" x14ac:dyDescent="0.2">
      <c r="A83" s="17"/>
      <c r="B83" s="15" t="s">
        <v>89</v>
      </c>
      <c r="C83" s="21">
        <v>6170.7517564402806</v>
      </c>
    </row>
    <row r="84" spans="1:3" x14ac:dyDescent="0.2">
      <c r="A84" s="17"/>
      <c r="B84" s="15" t="s">
        <v>90</v>
      </c>
      <c r="C84" s="21">
        <v>37135.590163934423</v>
      </c>
    </row>
    <row r="85" spans="1:3" x14ac:dyDescent="0.2">
      <c r="A85" s="17"/>
      <c r="B85" s="15" t="s">
        <v>91</v>
      </c>
      <c r="C85" s="21">
        <v>26679.400468384076</v>
      </c>
    </row>
    <row r="86" spans="1:3" x14ac:dyDescent="0.2">
      <c r="A86" s="17"/>
      <c r="B86" s="15" t="s">
        <v>92</v>
      </c>
      <c r="C86" s="21">
        <v>16147.128805620609</v>
      </c>
    </row>
    <row r="87" spans="1:3" x14ac:dyDescent="0.2">
      <c r="A87" s="17"/>
      <c r="B87" s="15" t="s">
        <v>93</v>
      </c>
      <c r="C87" s="21">
        <v>11236.899297423886</v>
      </c>
    </row>
    <row r="88" spans="1:3" x14ac:dyDescent="0.2">
      <c r="A88" s="17"/>
      <c r="B88" s="15" t="s">
        <v>94</v>
      </c>
      <c r="C88" s="21">
        <v>10324.658079625293</v>
      </c>
    </row>
    <row r="89" spans="1:3" x14ac:dyDescent="0.2">
      <c r="A89" s="17"/>
      <c r="B89" s="15" t="s">
        <v>95</v>
      </c>
      <c r="C89" s="21">
        <v>11911.812646370025</v>
      </c>
    </row>
    <row r="90" spans="1:3" x14ac:dyDescent="0.2">
      <c r="A90" s="17"/>
      <c r="B90" s="15" t="s">
        <v>96</v>
      </c>
      <c r="C90" s="21">
        <v>9779.946135831382</v>
      </c>
    </row>
    <row r="91" spans="1:3" x14ac:dyDescent="0.2">
      <c r="A91" s="17"/>
      <c r="B91" s="15" t="s">
        <v>97</v>
      </c>
      <c r="C91" s="21">
        <v>2190.5925058548009</v>
      </c>
    </row>
    <row r="92" spans="1:3" x14ac:dyDescent="0.2">
      <c r="A92" s="24" t="s">
        <v>63</v>
      </c>
      <c r="B92" s="14"/>
      <c r="C92" s="22">
        <f>SUM(C80:C91)</f>
        <v>235959.05152224822</v>
      </c>
    </row>
    <row r="93" spans="1:3" x14ac:dyDescent="0.2">
      <c r="A93" s="16" t="s">
        <v>7</v>
      </c>
      <c r="B93" s="15" t="s">
        <v>86</v>
      </c>
      <c r="C93" s="21">
        <v>15446.674473067915</v>
      </c>
    </row>
    <row r="94" spans="1:3" x14ac:dyDescent="0.2">
      <c r="A94" s="17"/>
      <c r="B94" s="15" t="s">
        <v>87</v>
      </c>
      <c r="C94" s="21">
        <v>18790.843091334893</v>
      </c>
    </row>
    <row r="95" spans="1:3" x14ac:dyDescent="0.2">
      <c r="A95" s="17"/>
      <c r="B95" s="15" t="s">
        <v>88</v>
      </c>
      <c r="C95" s="21">
        <v>16753.700234192038</v>
      </c>
    </row>
    <row r="96" spans="1:3" x14ac:dyDescent="0.2">
      <c r="A96" s="17"/>
      <c r="B96" s="15" t="s">
        <v>89</v>
      </c>
      <c r="C96" s="21">
        <v>6509.9672131147536</v>
      </c>
    </row>
    <row r="97" spans="1:3" x14ac:dyDescent="0.2">
      <c r="A97" s="17"/>
      <c r="B97" s="15" t="s">
        <v>90</v>
      </c>
      <c r="C97" s="21">
        <v>19761.995316159249</v>
      </c>
    </row>
    <row r="98" spans="1:3" x14ac:dyDescent="0.2">
      <c r="A98" s="17"/>
      <c r="B98" s="15" t="s">
        <v>91</v>
      </c>
      <c r="C98" s="21">
        <v>12280.386416861826</v>
      </c>
    </row>
    <row r="99" spans="1:3" x14ac:dyDescent="0.2">
      <c r="A99" s="17"/>
      <c r="B99" s="15" t="s">
        <v>92</v>
      </c>
      <c r="C99" s="21">
        <v>14536.990632318501</v>
      </c>
    </row>
    <row r="100" spans="1:3" x14ac:dyDescent="0.2">
      <c r="A100" s="17"/>
      <c r="B100" s="15" t="s">
        <v>93</v>
      </c>
      <c r="C100" s="21">
        <v>12083.03981264637</v>
      </c>
    </row>
    <row r="101" spans="1:3" x14ac:dyDescent="0.2">
      <c r="A101" s="17"/>
      <c r="B101" s="15" t="s">
        <v>94</v>
      </c>
      <c r="C101" s="21">
        <v>12114.037470725994</v>
      </c>
    </row>
    <row r="102" spans="1:3" x14ac:dyDescent="0.2">
      <c r="A102" s="17"/>
      <c r="B102" s="15" t="s">
        <v>95</v>
      </c>
      <c r="C102" s="21">
        <v>12059.1943793911</v>
      </c>
    </row>
    <row r="103" spans="1:3" x14ac:dyDescent="0.2">
      <c r="A103" s="17"/>
      <c r="B103" s="15" t="s">
        <v>96</v>
      </c>
      <c r="C103" s="21">
        <v>7987.7587822014048</v>
      </c>
    </row>
    <row r="104" spans="1:3" x14ac:dyDescent="0.2">
      <c r="A104" s="17"/>
      <c r="B104" s="15" t="s">
        <v>97</v>
      </c>
      <c r="C104" s="21">
        <v>4973.5644028103043</v>
      </c>
    </row>
    <row r="105" spans="1:3" x14ac:dyDescent="0.2">
      <c r="A105" s="24" t="s">
        <v>64</v>
      </c>
      <c r="B105" s="14"/>
      <c r="C105" s="22">
        <f>SUM(C93:C104)</f>
        <v>153298.15222482436</v>
      </c>
    </row>
    <row r="106" spans="1:3" x14ac:dyDescent="0.2">
      <c r="A106" s="16" t="s">
        <v>8</v>
      </c>
      <c r="B106" s="15" t="s">
        <v>86</v>
      </c>
      <c r="C106" s="21">
        <v>28480.358313817327</v>
      </c>
    </row>
    <row r="107" spans="1:3" x14ac:dyDescent="0.2">
      <c r="A107" s="17"/>
      <c r="B107" s="15" t="s">
        <v>87</v>
      </c>
      <c r="C107" s="21">
        <v>26618.281030444967</v>
      </c>
    </row>
    <row r="108" spans="1:3" x14ac:dyDescent="0.2">
      <c r="A108" s="17"/>
      <c r="B108" s="15" t="s">
        <v>88</v>
      </c>
      <c r="C108" s="21">
        <v>32886.728337236535</v>
      </c>
    </row>
    <row r="109" spans="1:3" x14ac:dyDescent="0.2">
      <c r="A109" s="17"/>
      <c r="B109" s="15" t="s">
        <v>89</v>
      </c>
      <c r="C109" s="21">
        <v>17561.533957845433</v>
      </c>
    </row>
    <row r="110" spans="1:3" x14ac:dyDescent="0.2">
      <c r="A110" s="17"/>
      <c r="B110" s="15" t="s">
        <v>90</v>
      </c>
      <c r="C110" s="21">
        <v>52086.728337236535</v>
      </c>
    </row>
    <row r="111" spans="1:3" x14ac:dyDescent="0.2">
      <c r="A111" s="17"/>
      <c r="B111" s="15" t="s">
        <v>91</v>
      </c>
      <c r="C111" s="21">
        <v>22556.16861826698</v>
      </c>
    </row>
    <row r="112" spans="1:3" x14ac:dyDescent="0.2">
      <c r="A112" s="17"/>
      <c r="B112" s="15" t="s">
        <v>92</v>
      </c>
      <c r="C112" s="21">
        <v>23309.428571428572</v>
      </c>
    </row>
    <row r="113" spans="1:3" x14ac:dyDescent="0.2">
      <c r="A113" s="17"/>
      <c r="B113" s="15" t="s">
        <v>93</v>
      </c>
      <c r="C113" s="21">
        <v>15657.138173302108</v>
      </c>
    </row>
    <row r="114" spans="1:3" x14ac:dyDescent="0.2">
      <c r="A114" s="17"/>
      <c r="B114" s="15" t="s">
        <v>94</v>
      </c>
      <c r="C114" s="21">
        <v>12133.131147540984</v>
      </c>
    </row>
    <row r="115" spans="1:3" x14ac:dyDescent="0.2">
      <c r="A115" s="17"/>
      <c r="B115" s="15" t="s">
        <v>95</v>
      </c>
      <c r="C115" s="21">
        <v>12265.861826697892</v>
      </c>
    </row>
    <row r="116" spans="1:3" x14ac:dyDescent="0.2">
      <c r="A116" s="17"/>
      <c r="B116" s="15" t="s">
        <v>96</v>
      </c>
      <c r="C116" s="21">
        <v>11998.35362997658</v>
      </c>
    </row>
    <row r="117" spans="1:3" x14ac:dyDescent="0.2">
      <c r="A117" s="17"/>
      <c r="B117" s="15" t="s">
        <v>97</v>
      </c>
      <c r="C117" s="21">
        <v>12118.770491803278</v>
      </c>
    </row>
    <row r="118" spans="1:3" x14ac:dyDescent="0.2">
      <c r="A118" s="24" t="s">
        <v>65</v>
      </c>
      <c r="B118" s="14"/>
      <c r="C118" s="22">
        <f>SUM(C106:C117)</f>
        <v>267672.48243559722</v>
      </c>
    </row>
    <row r="119" spans="1:3" x14ac:dyDescent="0.2">
      <c r="A119" s="16" t="s">
        <v>9</v>
      </c>
      <c r="B119" s="15" t="s">
        <v>86</v>
      </c>
      <c r="C119" s="21">
        <v>520.65807962529266</v>
      </c>
    </row>
    <row r="120" spans="1:3" x14ac:dyDescent="0.2">
      <c r="A120" s="17"/>
      <c r="B120" s="15" t="s">
        <v>87</v>
      </c>
      <c r="C120" s="21">
        <v>635.09601873536303</v>
      </c>
    </row>
    <row r="121" spans="1:3" x14ac:dyDescent="0.2">
      <c r="A121" s="17"/>
      <c r="B121" s="15" t="s">
        <v>88</v>
      </c>
      <c r="C121" s="21">
        <v>878.80093676814988</v>
      </c>
    </row>
    <row r="122" spans="1:3" x14ac:dyDescent="0.2">
      <c r="A122" s="17"/>
      <c r="B122" s="15" t="s">
        <v>89</v>
      </c>
      <c r="C122" s="21">
        <v>1215.0632318501171</v>
      </c>
    </row>
    <row r="123" spans="1:3" x14ac:dyDescent="0.2">
      <c r="A123" s="17"/>
      <c r="B123" s="15" t="s">
        <v>90</v>
      </c>
      <c r="C123" s="21">
        <v>1508.4355971896955</v>
      </c>
    </row>
    <row r="124" spans="1:3" x14ac:dyDescent="0.2">
      <c r="A124" s="17"/>
      <c r="B124" s="15" t="s">
        <v>91</v>
      </c>
      <c r="C124" s="21">
        <v>805.91100702576114</v>
      </c>
    </row>
    <row r="125" spans="1:3" x14ac:dyDescent="0.2">
      <c r="A125" s="17"/>
      <c r="B125" s="15" t="s">
        <v>92</v>
      </c>
      <c r="C125" s="21">
        <v>347.03981264637002</v>
      </c>
    </row>
    <row r="126" spans="1:3" x14ac:dyDescent="0.2">
      <c r="A126" s="17"/>
      <c r="B126" s="15" t="s">
        <v>93</v>
      </c>
      <c r="C126" s="21">
        <v>542.93208430913353</v>
      </c>
    </row>
    <row r="127" spans="1:3" x14ac:dyDescent="0.2">
      <c r="A127" s="17"/>
      <c r="B127" s="15" t="s">
        <v>94</v>
      </c>
      <c r="C127" s="21">
        <v>481.50351288056203</v>
      </c>
    </row>
    <row r="128" spans="1:3" x14ac:dyDescent="0.2">
      <c r="A128" s="17"/>
      <c r="B128" s="15" t="s">
        <v>95</v>
      </c>
      <c r="C128" s="21">
        <v>447.25526932084313</v>
      </c>
    </row>
    <row r="129" spans="1:3" x14ac:dyDescent="0.2">
      <c r="A129" s="17"/>
      <c r="B129" s="15" t="s">
        <v>96</v>
      </c>
      <c r="C129" s="21">
        <v>350.38173302107731</v>
      </c>
    </row>
    <row r="130" spans="1:3" x14ac:dyDescent="0.2">
      <c r="A130" s="17"/>
      <c r="B130" s="15" t="s">
        <v>97</v>
      </c>
      <c r="C130" s="21">
        <v>337.89461358313815</v>
      </c>
    </row>
    <row r="131" spans="1:3" x14ac:dyDescent="0.2">
      <c r="A131" s="24" t="s">
        <v>66</v>
      </c>
      <c r="B131" s="14"/>
      <c r="C131" s="22">
        <f>SUM(C119:C130)</f>
        <v>8070.9718969555033</v>
      </c>
    </row>
    <row r="132" spans="1:3" x14ac:dyDescent="0.2">
      <c r="A132" s="16" t="s">
        <v>10</v>
      </c>
      <c r="B132" s="15" t="s">
        <v>86</v>
      </c>
      <c r="C132" s="21">
        <v>90566.625292740035</v>
      </c>
    </row>
    <row r="133" spans="1:3" x14ac:dyDescent="0.2">
      <c r="A133" s="17"/>
      <c r="B133" s="15" t="s">
        <v>87</v>
      </c>
      <c r="C133" s="21">
        <v>97067.028103044489</v>
      </c>
    </row>
    <row r="134" spans="1:3" x14ac:dyDescent="0.2">
      <c r="A134" s="17"/>
      <c r="B134" s="15" t="s">
        <v>88</v>
      </c>
      <c r="C134" s="21">
        <v>126712.75644028102</v>
      </c>
    </row>
    <row r="135" spans="1:3" x14ac:dyDescent="0.2">
      <c r="A135" s="17"/>
      <c r="B135" s="15" t="s">
        <v>89</v>
      </c>
      <c r="C135" s="21">
        <v>40604.721311475412</v>
      </c>
    </row>
    <row r="136" spans="1:3" x14ac:dyDescent="0.2">
      <c r="A136" s="17"/>
      <c r="B136" s="15" t="s">
        <v>90</v>
      </c>
      <c r="C136" s="21">
        <v>94916.459016393434</v>
      </c>
    </row>
    <row r="137" spans="1:3" x14ac:dyDescent="0.2">
      <c r="A137" s="17"/>
      <c r="B137" s="15" t="s">
        <v>91</v>
      </c>
      <c r="C137" s="21">
        <v>73983.543325526931</v>
      </c>
    </row>
    <row r="138" spans="1:3" x14ac:dyDescent="0.2">
      <c r="A138" s="17"/>
      <c r="B138" s="15" t="s">
        <v>92</v>
      </c>
      <c r="C138" s="21">
        <v>44104.266978922715</v>
      </c>
    </row>
    <row r="139" spans="1:3" x14ac:dyDescent="0.2">
      <c r="A139" s="17"/>
      <c r="B139" s="15" t="s">
        <v>93</v>
      </c>
      <c r="C139" s="21">
        <v>26561.761124121778</v>
      </c>
    </row>
    <row r="140" spans="1:3" x14ac:dyDescent="0.2">
      <c r="A140" s="17"/>
      <c r="B140" s="15" t="s">
        <v>94</v>
      </c>
      <c r="C140" s="21">
        <v>31156.009367681498</v>
      </c>
    </row>
    <row r="141" spans="1:3" x14ac:dyDescent="0.2">
      <c r="A141" s="17"/>
      <c r="B141" s="15" t="s">
        <v>95</v>
      </c>
      <c r="C141" s="21">
        <v>39131.911007025759</v>
      </c>
    </row>
    <row r="142" spans="1:3" x14ac:dyDescent="0.2">
      <c r="A142" s="17"/>
      <c r="B142" s="15" t="s">
        <v>96</v>
      </c>
      <c r="C142" s="21">
        <v>39891.772833723648</v>
      </c>
    </row>
    <row r="143" spans="1:3" x14ac:dyDescent="0.2">
      <c r="A143" s="17"/>
      <c r="B143" s="15" t="s">
        <v>97</v>
      </c>
      <c r="C143" s="21">
        <v>48606.473067915693</v>
      </c>
    </row>
    <row r="144" spans="1:3" x14ac:dyDescent="0.2">
      <c r="A144" s="24" t="s">
        <v>67</v>
      </c>
      <c r="B144" s="14"/>
      <c r="C144" s="22">
        <f>SUM(C132:C143)</f>
        <v>753303.3278688523</v>
      </c>
    </row>
    <row r="145" spans="1:3" x14ac:dyDescent="0.2">
      <c r="A145" s="16" t="s">
        <v>11</v>
      </c>
      <c r="B145" s="15" t="s">
        <v>86</v>
      </c>
      <c r="C145" s="21">
        <v>21609.74707259953</v>
      </c>
    </row>
    <row r="146" spans="1:3" x14ac:dyDescent="0.2">
      <c r="A146" s="17"/>
      <c r="B146" s="15" t="s">
        <v>87</v>
      </c>
      <c r="C146" s="21">
        <v>24202.133489461357</v>
      </c>
    </row>
    <row r="147" spans="1:3" x14ac:dyDescent="0.2">
      <c r="A147" s="17"/>
      <c r="B147" s="15" t="s">
        <v>88</v>
      </c>
      <c r="C147" s="21">
        <v>26676.437939110067</v>
      </c>
    </row>
    <row r="148" spans="1:3" x14ac:dyDescent="0.2">
      <c r="A148" s="17"/>
      <c r="B148" s="15" t="s">
        <v>89</v>
      </c>
      <c r="C148" s="21">
        <v>19803.22950819672</v>
      </c>
    </row>
    <row r="149" spans="1:3" x14ac:dyDescent="0.2">
      <c r="A149" s="17"/>
      <c r="B149" s="15" t="s">
        <v>90</v>
      </c>
      <c r="C149" s="21">
        <v>17873.318501170961</v>
      </c>
    </row>
    <row r="150" spans="1:3" x14ac:dyDescent="0.2">
      <c r="A150" s="17"/>
      <c r="B150" s="15" t="s">
        <v>91</v>
      </c>
      <c r="C150" s="21">
        <v>15432.822014051522</v>
      </c>
    </row>
    <row r="151" spans="1:3" x14ac:dyDescent="0.2">
      <c r="A151" s="17"/>
      <c r="B151" s="15" t="s">
        <v>92</v>
      </c>
      <c r="C151" s="21">
        <v>20895.796252927401</v>
      </c>
    </row>
    <row r="152" spans="1:3" x14ac:dyDescent="0.2">
      <c r="A152" s="17"/>
      <c r="B152" s="15" t="s">
        <v>93</v>
      </c>
      <c r="C152" s="21">
        <v>20999.388758782203</v>
      </c>
    </row>
    <row r="153" spans="1:3" x14ac:dyDescent="0.2">
      <c r="A153" s="17"/>
      <c r="B153" s="15" t="s">
        <v>94</v>
      </c>
      <c r="C153" s="21">
        <v>11047.515222482434</v>
      </c>
    </row>
    <row r="154" spans="1:3" x14ac:dyDescent="0.2">
      <c r="A154" s="17"/>
      <c r="B154" s="15" t="s">
        <v>95</v>
      </c>
      <c r="C154" s="21">
        <v>12297.117096018736</v>
      </c>
    </row>
    <row r="155" spans="1:3" x14ac:dyDescent="0.2">
      <c r="A155" s="17"/>
      <c r="B155" s="15" t="s">
        <v>96</v>
      </c>
      <c r="C155" s="21">
        <v>4416.7002341920379</v>
      </c>
    </row>
    <row r="156" spans="1:3" x14ac:dyDescent="0.2">
      <c r="A156" s="17"/>
      <c r="B156" s="15" t="s">
        <v>97</v>
      </c>
      <c r="C156" s="21">
        <v>7628.2459016393441</v>
      </c>
    </row>
    <row r="157" spans="1:3" x14ac:dyDescent="0.2">
      <c r="A157" s="24" t="s">
        <v>68</v>
      </c>
      <c r="B157" s="14"/>
      <c r="C157" s="22">
        <f>SUM(C145:C156)</f>
        <v>202882.45199063234</v>
      </c>
    </row>
    <row r="158" spans="1:3" x14ac:dyDescent="0.2">
      <c r="A158" s="16" t="s">
        <v>12</v>
      </c>
      <c r="B158" s="15" t="s">
        <v>86</v>
      </c>
      <c r="C158" s="21">
        <v>34796.079625292739</v>
      </c>
    </row>
    <row r="159" spans="1:3" x14ac:dyDescent="0.2">
      <c r="A159" s="17"/>
      <c r="B159" s="15" t="s">
        <v>87</v>
      </c>
      <c r="C159" s="21">
        <v>38318.971896955503</v>
      </c>
    </row>
    <row r="160" spans="1:3" x14ac:dyDescent="0.2">
      <c r="A160" s="17"/>
      <c r="B160" s="15" t="s">
        <v>88</v>
      </c>
      <c r="C160" s="21">
        <v>41027.918032786882</v>
      </c>
    </row>
    <row r="161" spans="1:3" x14ac:dyDescent="0.2">
      <c r="A161" s="17"/>
      <c r="B161" s="15" t="s">
        <v>89</v>
      </c>
      <c r="C161" s="21">
        <v>26220.159250585479</v>
      </c>
    </row>
    <row r="162" spans="1:3" x14ac:dyDescent="0.2">
      <c r="A162" s="17"/>
      <c r="B162" s="15" t="s">
        <v>90</v>
      </c>
      <c r="C162" s="21">
        <v>49049.217798594851</v>
      </c>
    </row>
    <row r="163" spans="1:3" x14ac:dyDescent="0.2">
      <c r="A163" s="17"/>
      <c r="B163" s="15" t="s">
        <v>91</v>
      </c>
      <c r="C163" s="21">
        <v>32949.676814988292</v>
      </c>
    </row>
    <row r="164" spans="1:3" x14ac:dyDescent="0.2">
      <c r="A164" s="17"/>
      <c r="B164" s="15" t="s">
        <v>92</v>
      </c>
      <c r="C164" s="21">
        <v>31164.934426229505</v>
      </c>
    </row>
    <row r="165" spans="1:3" x14ac:dyDescent="0.2">
      <c r="A165" s="17"/>
      <c r="B165" s="15" t="s">
        <v>93</v>
      </c>
      <c r="C165" s="21">
        <v>23537.524590163935</v>
      </c>
    </row>
    <row r="166" spans="1:3" x14ac:dyDescent="0.2">
      <c r="A166" s="17"/>
      <c r="B166" s="15" t="s">
        <v>94</v>
      </c>
      <c r="C166" s="21">
        <v>19693.793911007026</v>
      </c>
    </row>
    <row r="167" spans="1:3" x14ac:dyDescent="0.2">
      <c r="A167" s="17"/>
      <c r="B167" s="15" t="s">
        <v>95</v>
      </c>
      <c r="C167" s="21">
        <v>20038.327868852459</v>
      </c>
    </row>
    <row r="168" spans="1:3" x14ac:dyDescent="0.2">
      <c r="A168" s="17"/>
      <c r="B168" s="15" t="s">
        <v>96</v>
      </c>
      <c r="C168" s="21">
        <v>16032.391100702576</v>
      </c>
    </row>
    <row r="169" spans="1:3" x14ac:dyDescent="0.2">
      <c r="A169" s="17"/>
      <c r="B169" s="15" t="s">
        <v>97</v>
      </c>
      <c r="C169" s="21">
        <v>20957.110070257611</v>
      </c>
    </row>
    <row r="170" spans="1:3" x14ac:dyDescent="0.2">
      <c r="A170" s="24" t="s">
        <v>69</v>
      </c>
      <c r="B170" s="14"/>
      <c r="C170" s="22">
        <f>SUM(C158:C169)</f>
        <v>353786.10538641684</v>
      </c>
    </row>
    <row r="171" spans="1:3" x14ac:dyDescent="0.2">
      <c r="A171" s="16" t="s">
        <v>13</v>
      </c>
      <c r="B171" s="15" t="s">
        <v>86</v>
      </c>
      <c r="C171" s="21">
        <v>16453.585480093676</v>
      </c>
    </row>
    <row r="172" spans="1:3" x14ac:dyDescent="0.2">
      <c r="A172" s="17"/>
      <c r="B172" s="15" t="s">
        <v>87</v>
      </c>
      <c r="C172" s="21">
        <v>22097.487119437938</v>
      </c>
    </row>
    <row r="173" spans="1:3" x14ac:dyDescent="0.2">
      <c r="A173" s="17"/>
      <c r="B173" s="15" t="s">
        <v>88</v>
      </c>
      <c r="C173" s="21">
        <v>29772.866510538639</v>
      </c>
    </row>
    <row r="174" spans="1:3" x14ac:dyDescent="0.2">
      <c r="A174" s="17"/>
      <c r="B174" s="15" t="s">
        <v>89</v>
      </c>
      <c r="C174" s="21">
        <v>6499.6370023419204</v>
      </c>
    </row>
    <row r="175" spans="1:3" x14ac:dyDescent="0.2">
      <c r="A175" s="17"/>
      <c r="B175" s="15" t="s">
        <v>90</v>
      </c>
      <c r="C175" s="21">
        <v>23918.185011709604</v>
      </c>
    </row>
    <row r="176" spans="1:3" x14ac:dyDescent="0.2">
      <c r="A176" s="17"/>
      <c r="B176" s="15" t="s">
        <v>91</v>
      </c>
      <c r="C176" s="21">
        <v>19203.936768149884</v>
      </c>
    </row>
    <row r="177" spans="1:3" x14ac:dyDescent="0.2">
      <c r="A177" s="17"/>
      <c r="B177" s="15" t="s">
        <v>92</v>
      </c>
      <c r="C177" s="21">
        <v>18634.817330210775</v>
      </c>
    </row>
    <row r="178" spans="1:3" x14ac:dyDescent="0.2">
      <c r="A178" s="17"/>
      <c r="B178" s="15" t="s">
        <v>93</v>
      </c>
      <c r="C178" s="21">
        <v>10069.482435597189</v>
      </c>
    </row>
    <row r="179" spans="1:3" x14ac:dyDescent="0.2">
      <c r="A179" s="17"/>
      <c r="B179" s="15" t="s">
        <v>94</v>
      </c>
      <c r="C179" s="21">
        <v>12567.836065573771</v>
      </c>
    </row>
    <row r="180" spans="1:3" x14ac:dyDescent="0.2">
      <c r="A180" s="17"/>
      <c r="B180" s="15" t="s">
        <v>95</v>
      </c>
      <c r="C180" s="21">
        <v>11030.194379391101</v>
      </c>
    </row>
    <row r="181" spans="1:3" x14ac:dyDescent="0.2">
      <c r="A181" s="17"/>
      <c r="B181" s="15" t="s">
        <v>96</v>
      </c>
      <c r="C181" s="21">
        <v>1408.688524590164</v>
      </c>
    </row>
    <row r="182" spans="1:3" x14ac:dyDescent="0.2">
      <c r="A182" s="17"/>
      <c r="B182" s="15" t="s">
        <v>97</v>
      </c>
      <c r="C182" s="21">
        <v>2288.9508196721313</v>
      </c>
    </row>
    <row r="183" spans="1:3" x14ac:dyDescent="0.2">
      <c r="A183" s="24" t="s">
        <v>70</v>
      </c>
      <c r="B183" s="14"/>
      <c r="C183" s="22">
        <f>SUM(C171:C182)</f>
        <v>173945.6674473068</v>
      </c>
    </row>
    <row r="184" spans="1:3" x14ac:dyDescent="0.2">
      <c r="A184" s="16" t="s">
        <v>14</v>
      </c>
      <c r="B184" s="15" t="s">
        <v>86</v>
      </c>
      <c r="C184" s="21">
        <v>45078.793911007022</v>
      </c>
    </row>
    <row r="185" spans="1:3" x14ac:dyDescent="0.2">
      <c r="A185" s="17"/>
      <c r="B185" s="15" t="s">
        <v>87</v>
      </c>
      <c r="C185" s="21">
        <v>18000.7868852459</v>
      </c>
    </row>
    <row r="186" spans="1:3" x14ac:dyDescent="0.2">
      <c r="A186" s="17"/>
      <c r="B186" s="15" t="s">
        <v>88</v>
      </c>
      <c r="C186" s="21">
        <v>20904.264637002343</v>
      </c>
    </row>
    <row r="187" spans="1:3" x14ac:dyDescent="0.2">
      <c r="A187" s="17"/>
      <c r="B187" s="15" t="s">
        <v>89</v>
      </c>
      <c r="C187" s="21">
        <v>7209.6697892271659</v>
      </c>
    </row>
    <row r="188" spans="1:3" x14ac:dyDescent="0.2">
      <c r="A188" s="17"/>
      <c r="B188" s="15" t="s">
        <v>90</v>
      </c>
      <c r="C188" s="21">
        <v>30970.882903981263</v>
      </c>
    </row>
    <row r="189" spans="1:3" x14ac:dyDescent="0.2">
      <c r="A189" s="17"/>
      <c r="B189" s="15" t="s">
        <v>91</v>
      </c>
      <c r="C189" s="21">
        <v>23455.463700234191</v>
      </c>
    </row>
    <row r="190" spans="1:3" x14ac:dyDescent="0.2">
      <c r="A190" s="17"/>
      <c r="B190" s="15" t="s">
        <v>92</v>
      </c>
      <c r="C190" s="21">
        <v>16398.365339578453</v>
      </c>
    </row>
    <row r="191" spans="1:3" x14ac:dyDescent="0.2">
      <c r="A191" s="17"/>
      <c r="B191" s="15" t="s">
        <v>93</v>
      </c>
      <c r="C191" s="21">
        <v>20365.796252927401</v>
      </c>
    </row>
    <row r="192" spans="1:3" x14ac:dyDescent="0.2">
      <c r="A192" s="17"/>
      <c r="B192" s="15" t="s">
        <v>94</v>
      </c>
      <c r="C192" s="21">
        <v>12350.946135831382</v>
      </c>
    </row>
    <row r="193" spans="1:3" x14ac:dyDescent="0.2">
      <c r="A193" s="17"/>
      <c r="B193" s="15" t="s">
        <v>95</v>
      </c>
      <c r="C193" s="21">
        <v>19901.718969555033</v>
      </c>
    </row>
    <row r="194" spans="1:3" x14ac:dyDescent="0.2">
      <c r="A194" s="17"/>
      <c r="B194" s="15" t="s">
        <v>96</v>
      </c>
      <c r="C194" s="21">
        <v>21992.79156908665</v>
      </c>
    </row>
    <row r="195" spans="1:3" x14ac:dyDescent="0.2">
      <c r="A195" s="17"/>
      <c r="B195" s="15" t="s">
        <v>97</v>
      </c>
      <c r="C195" s="21">
        <v>32084.430913348944</v>
      </c>
    </row>
    <row r="196" spans="1:3" x14ac:dyDescent="0.2">
      <c r="A196" s="24" t="s">
        <v>71</v>
      </c>
      <c r="B196" s="14"/>
      <c r="C196" s="22">
        <f>SUM(C184:C195)</f>
        <v>268713.91100702574</v>
      </c>
    </row>
    <row r="197" spans="1:3" x14ac:dyDescent="0.2">
      <c r="A197" s="16" t="s">
        <v>15</v>
      </c>
      <c r="B197" s="15" t="s">
        <v>86</v>
      </c>
      <c r="C197" s="21">
        <v>4806.4519906323185</v>
      </c>
    </row>
    <row r="198" spans="1:3" x14ac:dyDescent="0.2">
      <c r="A198" s="17"/>
      <c r="B198" s="15" t="s">
        <v>87</v>
      </c>
      <c r="C198" s="21">
        <v>10978.87119437939</v>
      </c>
    </row>
    <row r="199" spans="1:3" x14ac:dyDescent="0.2">
      <c r="A199" s="17"/>
      <c r="B199" s="15" t="s">
        <v>88</v>
      </c>
      <c r="C199" s="21">
        <v>4816.8407494145195</v>
      </c>
    </row>
    <row r="200" spans="1:3" x14ac:dyDescent="0.2">
      <c r="A200" s="17"/>
      <c r="B200" s="15" t="s">
        <v>89</v>
      </c>
      <c r="C200" s="21">
        <v>9197.0070257611242</v>
      </c>
    </row>
    <row r="201" spans="1:3" x14ac:dyDescent="0.2">
      <c r="A201" s="17"/>
      <c r="B201" s="15" t="s">
        <v>90</v>
      </c>
      <c r="C201" s="21">
        <v>12004.128805620609</v>
      </c>
    </row>
    <row r="202" spans="1:3" x14ac:dyDescent="0.2">
      <c r="A202" s="17"/>
      <c r="B202" s="15" t="s">
        <v>91</v>
      </c>
      <c r="C202" s="21">
        <v>6583.5222482435602</v>
      </c>
    </row>
    <row r="203" spans="1:3" x14ac:dyDescent="0.2">
      <c r="A203" s="17"/>
      <c r="B203" s="15" t="s">
        <v>92</v>
      </c>
      <c r="C203" s="21">
        <v>6234.6159250585479</v>
      </c>
    </row>
    <row r="204" spans="1:3" x14ac:dyDescent="0.2">
      <c r="A204" s="17"/>
      <c r="B204" s="15" t="s">
        <v>93</v>
      </c>
      <c r="C204" s="21">
        <v>5598.7213114754095</v>
      </c>
    </row>
    <row r="205" spans="1:3" x14ac:dyDescent="0.2">
      <c r="A205" s="17"/>
      <c r="B205" s="15" t="s">
        <v>94</v>
      </c>
      <c r="C205" s="21">
        <v>4805.9836065573763</v>
      </c>
    </row>
    <row r="206" spans="1:3" x14ac:dyDescent="0.2">
      <c r="A206" s="17"/>
      <c r="B206" s="15" t="s">
        <v>95</v>
      </c>
      <c r="C206" s="21">
        <v>4125.5433255269318</v>
      </c>
    </row>
    <row r="207" spans="1:3" x14ac:dyDescent="0.2">
      <c r="A207" s="17"/>
      <c r="B207" s="15" t="s">
        <v>96</v>
      </c>
      <c r="C207" s="21">
        <v>3423.9625292740047</v>
      </c>
    </row>
    <row r="208" spans="1:3" x14ac:dyDescent="0.2">
      <c r="A208" s="17"/>
      <c r="B208" s="15" t="s">
        <v>97</v>
      </c>
      <c r="C208" s="21">
        <v>4247.5480093676815</v>
      </c>
    </row>
    <row r="209" spans="1:3" x14ac:dyDescent="0.2">
      <c r="A209" s="24" t="s">
        <v>72</v>
      </c>
      <c r="B209" s="14"/>
      <c r="C209" s="22">
        <f>SUM(C197:C208)</f>
        <v>76823.196721311484</v>
      </c>
    </row>
    <row r="210" spans="1:3" x14ac:dyDescent="0.2">
      <c r="A210" s="16" t="s">
        <v>16</v>
      </c>
      <c r="B210" s="15" t="s">
        <v>86</v>
      </c>
      <c r="C210" s="21">
        <v>15031.252927400468</v>
      </c>
    </row>
    <row r="211" spans="1:3" x14ac:dyDescent="0.2">
      <c r="A211" s="17"/>
      <c r="B211" s="15" t="s">
        <v>87</v>
      </c>
      <c r="C211" s="21">
        <v>13714.110070257611</v>
      </c>
    </row>
    <row r="212" spans="1:3" x14ac:dyDescent="0.2">
      <c r="A212" s="17"/>
      <c r="B212" s="15" t="s">
        <v>88</v>
      </c>
      <c r="C212" s="21">
        <v>14834.765807962529</v>
      </c>
    </row>
    <row r="213" spans="1:3" x14ac:dyDescent="0.2">
      <c r="A213" s="17"/>
      <c r="B213" s="15" t="s">
        <v>89</v>
      </c>
      <c r="C213" s="21">
        <v>11225.730679156908</v>
      </c>
    </row>
    <row r="214" spans="1:3" x14ac:dyDescent="0.2">
      <c r="A214" s="17"/>
      <c r="B214" s="15" t="s">
        <v>90</v>
      </c>
      <c r="C214" s="21">
        <v>25206.651053864167</v>
      </c>
    </row>
    <row r="215" spans="1:3" x14ac:dyDescent="0.2">
      <c r="A215" s="17"/>
      <c r="B215" s="15" t="s">
        <v>91</v>
      </c>
      <c r="C215" s="21">
        <v>14782.880562060889</v>
      </c>
    </row>
    <row r="216" spans="1:3" x14ac:dyDescent="0.2">
      <c r="A216" s="17"/>
      <c r="B216" s="15" t="s">
        <v>92</v>
      </c>
      <c r="C216" s="21">
        <v>6872.5105386416853</v>
      </c>
    </row>
    <row r="217" spans="1:3" x14ac:dyDescent="0.2">
      <c r="A217" s="17"/>
      <c r="B217" s="15" t="s">
        <v>93</v>
      </c>
      <c r="C217" s="21">
        <v>3647.4379391100701</v>
      </c>
    </row>
    <row r="218" spans="1:3" x14ac:dyDescent="0.2">
      <c r="A218" s="17"/>
      <c r="B218" s="15" t="s">
        <v>94</v>
      </c>
      <c r="C218" s="21">
        <v>4049.7025761124123</v>
      </c>
    </row>
    <row r="219" spans="1:3" x14ac:dyDescent="0.2">
      <c r="A219" s="17"/>
      <c r="B219" s="15" t="s">
        <v>95</v>
      </c>
      <c r="C219" s="21">
        <v>3545.7166276346607</v>
      </c>
    </row>
    <row r="220" spans="1:3" x14ac:dyDescent="0.2">
      <c r="A220" s="17"/>
      <c r="B220" s="15" t="s">
        <v>96</v>
      </c>
      <c r="C220" s="21">
        <v>4064.5878220140517</v>
      </c>
    </row>
    <row r="221" spans="1:3" x14ac:dyDescent="0.2">
      <c r="A221" s="17"/>
      <c r="B221" s="15" t="s">
        <v>97</v>
      </c>
      <c r="C221" s="21">
        <v>7281.4215456674465</v>
      </c>
    </row>
    <row r="222" spans="1:3" x14ac:dyDescent="0.2">
      <c r="A222" s="24" t="s">
        <v>73</v>
      </c>
      <c r="B222" s="14"/>
      <c r="C222" s="22">
        <f>SUM(C210:C221)</f>
        <v>124256.76814988289</v>
      </c>
    </row>
    <row r="223" spans="1:3" x14ac:dyDescent="0.2">
      <c r="A223" s="16" t="s">
        <v>17</v>
      </c>
      <c r="B223" s="15" t="s">
        <v>86</v>
      </c>
      <c r="C223" s="21">
        <v>14550.009367681498</v>
      </c>
    </row>
    <row r="224" spans="1:3" x14ac:dyDescent="0.2">
      <c r="A224" s="17"/>
      <c r="B224" s="15" t="s">
        <v>87</v>
      </c>
      <c r="C224" s="21">
        <v>12897.014051522248</v>
      </c>
    </row>
    <row r="225" spans="1:3" x14ac:dyDescent="0.2">
      <c r="A225" s="17"/>
      <c r="B225" s="15" t="s">
        <v>88</v>
      </c>
      <c r="C225" s="21">
        <v>19358.320843091336</v>
      </c>
    </row>
    <row r="226" spans="1:3" x14ac:dyDescent="0.2">
      <c r="A226" s="17"/>
      <c r="B226" s="15" t="s">
        <v>89</v>
      </c>
      <c r="C226" s="21">
        <v>8456.2576112412171</v>
      </c>
    </row>
    <row r="227" spans="1:3" x14ac:dyDescent="0.2">
      <c r="A227" s="17"/>
      <c r="B227" s="15" t="s">
        <v>90</v>
      </c>
      <c r="C227" s="21">
        <v>25429.997658079625</v>
      </c>
    </row>
    <row r="228" spans="1:3" x14ac:dyDescent="0.2">
      <c r="A228" s="17"/>
      <c r="B228" s="15" t="s">
        <v>91</v>
      </c>
      <c r="C228" s="21">
        <v>14065.6018735363</v>
      </c>
    </row>
    <row r="229" spans="1:3" x14ac:dyDescent="0.2">
      <c r="A229" s="17"/>
      <c r="B229" s="15" t="s">
        <v>92</v>
      </c>
      <c r="C229" s="21">
        <v>11756.929742388758</v>
      </c>
    </row>
    <row r="230" spans="1:3" x14ac:dyDescent="0.2">
      <c r="A230" s="17"/>
      <c r="B230" s="15" t="s">
        <v>93</v>
      </c>
      <c r="C230" s="21">
        <v>6902.5339578454332</v>
      </c>
    </row>
    <row r="231" spans="1:3" x14ac:dyDescent="0.2">
      <c r="A231" s="17"/>
      <c r="B231" s="15" t="s">
        <v>94</v>
      </c>
      <c r="C231" s="21">
        <v>5388.8571428571431</v>
      </c>
    </row>
    <row r="232" spans="1:3" x14ac:dyDescent="0.2">
      <c r="A232" s="17"/>
      <c r="B232" s="15" t="s">
        <v>95</v>
      </c>
      <c r="C232" s="21">
        <v>4481.3934426229507</v>
      </c>
    </row>
    <row r="233" spans="1:3" x14ac:dyDescent="0.2">
      <c r="A233" s="17"/>
      <c r="B233" s="15" t="s">
        <v>96</v>
      </c>
      <c r="C233" s="21">
        <v>4700.3208430913346</v>
      </c>
    </row>
    <row r="234" spans="1:3" x14ac:dyDescent="0.2">
      <c r="A234" s="17"/>
      <c r="B234" s="15" t="s">
        <v>97</v>
      </c>
      <c r="C234" s="21">
        <v>4671.7587822014048</v>
      </c>
    </row>
    <row r="235" spans="1:3" x14ac:dyDescent="0.2">
      <c r="A235" s="24" t="s">
        <v>74</v>
      </c>
      <c r="B235" s="14"/>
      <c r="C235" s="22">
        <f>SUM(C223:C234)</f>
        <v>132658.99531615927</v>
      </c>
    </row>
    <row r="236" spans="1:3" x14ac:dyDescent="0.2">
      <c r="A236" s="16" t="s">
        <v>18</v>
      </c>
      <c r="B236" s="15" t="s">
        <v>86</v>
      </c>
      <c r="C236" s="21">
        <v>22803.578454332554</v>
      </c>
    </row>
    <row r="237" spans="1:3" x14ac:dyDescent="0.2">
      <c r="A237" s="17"/>
      <c r="B237" s="15" t="s">
        <v>87</v>
      </c>
      <c r="C237" s="21">
        <v>11739.540983606557</v>
      </c>
    </row>
    <row r="238" spans="1:3" x14ac:dyDescent="0.2">
      <c r="A238" s="17"/>
      <c r="B238" s="15" t="s">
        <v>88</v>
      </c>
      <c r="C238" s="21">
        <v>14482.545667447306</v>
      </c>
    </row>
    <row r="239" spans="1:3" x14ac:dyDescent="0.2">
      <c r="A239" s="17"/>
      <c r="B239" s="15" t="s">
        <v>89</v>
      </c>
      <c r="C239" s="21">
        <v>5121.7236533957848</v>
      </c>
    </row>
    <row r="240" spans="1:3" x14ac:dyDescent="0.2">
      <c r="A240" s="17"/>
      <c r="B240" s="15" t="s">
        <v>90</v>
      </c>
      <c r="C240" s="21">
        <v>12990.327868852459</v>
      </c>
    </row>
    <row r="241" spans="1:3" x14ac:dyDescent="0.2">
      <c r="A241" s="17"/>
      <c r="B241" s="15" t="s">
        <v>91</v>
      </c>
      <c r="C241" s="21">
        <v>9709.83138173302</v>
      </c>
    </row>
    <row r="242" spans="1:3" x14ac:dyDescent="0.2">
      <c r="A242" s="17"/>
      <c r="B242" s="15" t="s">
        <v>92</v>
      </c>
      <c r="C242" s="21">
        <v>6972.138173302108</v>
      </c>
    </row>
    <row r="243" spans="1:3" x14ac:dyDescent="0.2">
      <c r="A243" s="17"/>
      <c r="B243" s="15" t="s">
        <v>93</v>
      </c>
      <c r="C243" s="21">
        <v>4897.7236533957839</v>
      </c>
    </row>
    <row r="244" spans="1:3" x14ac:dyDescent="0.2">
      <c r="A244" s="17"/>
      <c r="B244" s="15" t="s">
        <v>94</v>
      </c>
      <c r="C244" s="21">
        <v>5898.6042154566749</v>
      </c>
    </row>
    <row r="245" spans="1:3" x14ac:dyDescent="0.2">
      <c r="A245" s="17"/>
      <c r="B245" s="15" t="s">
        <v>95</v>
      </c>
      <c r="C245" s="21">
        <v>6627.4519906323185</v>
      </c>
    </row>
    <row r="246" spans="1:3" x14ac:dyDescent="0.2">
      <c r="A246" s="17"/>
      <c r="B246" s="15" t="s">
        <v>96</v>
      </c>
      <c r="C246" s="21">
        <v>4540.8571428571431</v>
      </c>
    </row>
    <row r="247" spans="1:3" x14ac:dyDescent="0.2">
      <c r="A247" s="17"/>
      <c r="B247" s="15" t="s">
        <v>97</v>
      </c>
      <c r="C247" s="21">
        <v>10219.725995316159</v>
      </c>
    </row>
    <row r="248" spans="1:3" x14ac:dyDescent="0.2">
      <c r="A248" s="24" t="s">
        <v>75</v>
      </c>
      <c r="B248" s="14"/>
      <c r="C248" s="22">
        <f>SUM(C236:C247)</f>
        <v>116004.04918032786</v>
      </c>
    </row>
    <row r="249" spans="1:3" x14ac:dyDescent="0.2">
      <c r="A249" s="16" t="s">
        <v>19</v>
      </c>
      <c r="B249" s="15" t="s">
        <v>86</v>
      </c>
      <c r="C249" s="21">
        <v>31242.288056206089</v>
      </c>
    </row>
    <row r="250" spans="1:3" x14ac:dyDescent="0.2">
      <c r="A250" s="17"/>
      <c r="B250" s="15" t="s">
        <v>87</v>
      </c>
      <c r="C250" s="21">
        <v>27443.086651053862</v>
      </c>
    </row>
    <row r="251" spans="1:3" x14ac:dyDescent="0.2">
      <c r="A251" s="17"/>
      <c r="B251" s="15" t="s">
        <v>88</v>
      </c>
      <c r="C251" s="21">
        <v>27450.018735362995</v>
      </c>
    </row>
    <row r="252" spans="1:3" x14ac:dyDescent="0.2">
      <c r="A252" s="17"/>
      <c r="B252" s="15" t="s">
        <v>89</v>
      </c>
      <c r="C252" s="21">
        <v>12819.723653395784</v>
      </c>
    </row>
    <row r="253" spans="1:3" x14ac:dyDescent="0.2">
      <c r="A253" s="17"/>
      <c r="B253" s="15" t="s">
        <v>90</v>
      </c>
      <c r="C253" s="21">
        <v>27309.41451990632</v>
      </c>
    </row>
    <row r="254" spans="1:3" x14ac:dyDescent="0.2">
      <c r="A254" s="17"/>
      <c r="B254" s="15" t="s">
        <v>91</v>
      </c>
      <c r="C254" s="21">
        <v>18452.266978922715</v>
      </c>
    </row>
    <row r="255" spans="1:3" x14ac:dyDescent="0.2">
      <c r="A255" s="17"/>
      <c r="B255" s="15" t="s">
        <v>92</v>
      </c>
      <c r="C255" s="21">
        <v>20200.864168618267</v>
      </c>
    </row>
    <row r="256" spans="1:3" x14ac:dyDescent="0.2">
      <c r="A256" s="17"/>
      <c r="B256" s="15" t="s">
        <v>93</v>
      </c>
      <c r="C256" s="21">
        <v>18720.641686182669</v>
      </c>
    </row>
    <row r="257" spans="1:3" x14ac:dyDescent="0.2">
      <c r="A257" s="17"/>
      <c r="B257" s="15" t="s">
        <v>94</v>
      </c>
      <c r="C257" s="21">
        <v>18465.658079625293</v>
      </c>
    </row>
    <row r="258" spans="1:3" x14ac:dyDescent="0.2">
      <c r="A258" s="17"/>
      <c r="B258" s="15" t="s">
        <v>95</v>
      </c>
      <c r="C258" s="21">
        <v>23566.402810304447</v>
      </c>
    </row>
    <row r="259" spans="1:3" x14ac:dyDescent="0.2">
      <c r="A259" s="17"/>
      <c r="B259" s="15" t="s">
        <v>96</v>
      </c>
      <c r="C259" s="21">
        <v>20836.83138173302</v>
      </c>
    </row>
    <row r="260" spans="1:3" x14ac:dyDescent="0.2">
      <c r="A260" s="17"/>
      <c r="B260" s="15" t="s">
        <v>97</v>
      </c>
      <c r="C260" s="21">
        <v>23312.288056206089</v>
      </c>
    </row>
    <row r="261" spans="1:3" x14ac:dyDescent="0.2">
      <c r="A261" s="24" t="s">
        <v>76</v>
      </c>
      <c r="B261" s="14"/>
      <c r="C261" s="22">
        <f>SUM(C249:C260)</f>
        <v>269819.4847775175</v>
      </c>
    </row>
    <row r="262" spans="1:3" x14ac:dyDescent="0.2">
      <c r="A262" s="16" t="s">
        <v>20</v>
      </c>
      <c r="B262" s="15" t="s">
        <v>86</v>
      </c>
      <c r="C262" s="21">
        <v>37062.850117096023</v>
      </c>
    </row>
    <row r="263" spans="1:3" x14ac:dyDescent="0.2">
      <c r="A263" s="17"/>
      <c r="B263" s="15" t="s">
        <v>87</v>
      </c>
      <c r="C263" s="21">
        <v>36566.655737704918</v>
      </c>
    </row>
    <row r="264" spans="1:3" x14ac:dyDescent="0.2">
      <c r="A264" s="17"/>
      <c r="B264" s="15" t="s">
        <v>88</v>
      </c>
      <c r="C264" s="21">
        <v>31606.22950819672</v>
      </c>
    </row>
    <row r="265" spans="1:3" x14ac:dyDescent="0.2">
      <c r="A265" s="17"/>
      <c r="B265" s="15" t="s">
        <v>89</v>
      </c>
      <c r="C265" s="21">
        <v>35116.768149882904</v>
      </c>
    </row>
    <row r="266" spans="1:3" x14ac:dyDescent="0.2">
      <c r="A266" s="17"/>
      <c r="B266" s="15" t="s">
        <v>90</v>
      </c>
      <c r="C266" s="21">
        <v>44594.71428571429</v>
      </c>
    </row>
    <row r="267" spans="1:3" x14ac:dyDescent="0.2">
      <c r="A267" s="17"/>
      <c r="B267" s="15" t="s">
        <v>91</v>
      </c>
      <c r="C267" s="21">
        <v>25345.693208430916</v>
      </c>
    </row>
    <row r="268" spans="1:3" x14ac:dyDescent="0.2">
      <c r="A268" s="17"/>
      <c r="B268" s="15" t="s">
        <v>92</v>
      </c>
      <c r="C268" s="21">
        <v>29861.690866510537</v>
      </c>
    </row>
    <row r="269" spans="1:3" x14ac:dyDescent="0.2">
      <c r="A269" s="17"/>
      <c r="B269" s="15" t="s">
        <v>93</v>
      </c>
      <c r="C269" s="21">
        <v>28400.12880562061</v>
      </c>
    </row>
    <row r="270" spans="1:3" x14ac:dyDescent="0.2">
      <c r="A270" s="17"/>
      <c r="B270" s="15" t="s">
        <v>94</v>
      </c>
      <c r="C270" s="21">
        <v>30641.512880562059</v>
      </c>
    </row>
    <row r="271" spans="1:3" x14ac:dyDescent="0.2">
      <c r="A271" s="17"/>
      <c r="B271" s="15" t="s">
        <v>95</v>
      </c>
      <c r="C271" s="21">
        <v>29348.309133489463</v>
      </c>
    </row>
    <row r="272" spans="1:3" x14ac:dyDescent="0.2">
      <c r="A272" s="17"/>
      <c r="B272" s="15" t="s">
        <v>96</v>
      </c>
      <c r="C272" s="21">
        <v>20866.419203747071</v>
      </c>
    </row>
    <row r="273" spans="1:3" x14ac:dyDescent="0.2">
      <c r="A273" s="17"/>
      <c r="B273" s="15" t="s">
        <v>97</v>
      </c>
      <c r="C273" s="21">
        <v>22296.653395784542</v>
      </c>
    </row>
    <row r="274" spans="1:3" x14ac:dyDescent="0.2">
      <c r="A274" s="24" t="s">
        <v>77</v>
      </c>
      <c r="B274" s="14"/>
      <c r="C274" s="22">
        <f>SUM(C262:C273)</f>
        <v>371707.62529274001</v>
      </c>
    </row>
    <row r="275" spans="1:3" x14ac:dyDescent="0.2">
      <c r="A275" s="16" t="s">
        <v>21</v>
      </c>
      <c r="B275" s="15" t="s">
        <v>86</v>
      </c>
      <c r="C275" s="21">
        <v>3139.7728337236531</v>
      </c>
    </row>
    <row r="276" spans="1:3" x14ac:dyDescent="0.2">
      <c r="A276" s="17"/>
      <c r="B276" s="15" t="s">
        <v>87</v>
      </c>
      <c r="C276" s="21">
        <v>3948.4145199063232</v>
      </c>
    </row>
    <row r="277" spans="1:3" x14ac:dyDescent="0.2">
      <c r="A277" s="17"/>
      <c r="B277" s="15" t="s">
        <v>88</v>
      </c>
      <c r="C277" s="21">
        <v>2871.784543325527</v>
      </c>
    </row>
    <row r="278" spans="1:3" x14ac:dyDescent="0.2">
      <c r="A278" s="17"/>
      <c r="B278" s="15" t="s">
        <v>89</v>
      </c>
      <c r="C278" s="21">
        <v>2927.5222482435597</v>
      </c>
    </row>
    <row r="279" spans="1:3" x14ac:dyDescent="0.2">
      <c r="A279" s="17"/>
      <c r="B279" s="15" t="s">
        <v>90</v>
      </c>
      <c r="C279" s="21">
        <v>2235.3512880562062</v>
      </c>
    </row>
    <row r="280" spans="1:3" x14ac:dyDescent="0.2">
      <c r="A280" s="17"/>
      <c r="B280" s="15" t="s">
        <v>91</v>
      </c>
      <c r="C280" s="21">
        <v>2349.1077283372365</v>
      </c>
    </row>
    <row r="281" spans="1:3" x14ac:dyDescent="0.2">
      <c r="A281" s="17"/>
      <c r="B281" s="15" t="s">
        <v>92</v>
      </c>
      <c r="C281" s="21">
        <v>2534.3629976580796</v>
      </c>
    </row>
    <row r="282" spans="1:3" x14ac:dyDescent="0.2">
      <c r="A282" s="17"/>
      <c r="B282" s="15" t="s">
        <v>93</v>
      </c>
      <c r="C282" s="21">
        <v>3164.9110070257611</v>
      </c>
    </row>
    <row r="283" spans="1:3" x14ac:dyDescent="0.2">
      <c r="A283" s="17"/>
      <c r="B283" s="15" t="s">
        <v>94</v>
      </c>
      <c r="C283" s="21">
        <v>3818.9484777517564</v>
      </c>
    </row>
    <row r="284" spans="1:3" x14ac:dyDescent="0.2">
      <c r="A284" s="17"/>
      <c r="B284" s="15" t="s">
        <v>95</v>
      </c>
      <c r="C284" s="21">
        <v>1934.7962529274005</v>
      </c>
    </row>
    <row r="285" spans="1:3" x14ac:dyDescent="0.2">
      <c r="A285" s="17"/>
      <c r="B285" s="15" t="s">
        <v>96</v>
      </c>
      <c r="C285" s="21">
        <v>531.99531615925059</v>
      </c>
    </row>
    <row r="286" spans="1:3" x14ac:dyDescent="0.2">
      <c r="A286" s="17"/>
      <c r="B286" s="15" t="s">
        <v>97</v>
      </c>
      <c r="C286" s="21">
        <v>883.30913348946137</v>
      </c>
    </row>
    <row r="287" spans="1:3" x14ac:dyDescent="0.2">
      <c r="A287" s="24" t="s">
        <v>78</v>
      </c>
      <c r="B287" s="14"/>
      <c r="C287" s="22">
        <f>SUM(C275:C286)</f>
        <v>30340.276346604212</v>
      </c>
    </row>
    <row r="288" spans="1:3" x14ac:dyDescent="0.2">
      <c r="A288" s="16" t="s">
        <v>22</v>
      </c>
      <c r="B288" s="15" t="s">
        <v>86</v>
      </c>
      <c r="C288" s="21">
        <v>45744.072599531617</v>
      </c>
    </row>
    <row r="289" spans="1:3" x14ac:dyDescent="0.2">
      <c r="A289" s="17"/>
      <c r="B289" s="15" t="s">
        <v>87</v>
      </c>
      <c r="C289" s="21">
        <v>34670.313817330207</v>
      </c>
    </row>
    <row r="290" spans="1:3" x14ac:dyDescent="0.2">
      <c r="A290" s="17"/>
      <c r="B290" s="15" t="s">
        <v>88</v>
      </c>
      <c r="C290" s="21">
        <v>52866.098360655735</v>
      </c>
    </row>
    <row r="291" spans="1:3" x14ac:dyDescent="0.2">
      <c r="A291" s="17"/>
      <c r="B291" s="15" t="s">
        <v>89</v>
      </c>
      <c r="C291" s="21">
        <v>19385.697892271663</v>
      </c>
    </row>
    <row r="292" spans="1:3" x14ac:dyDescent="0.2">
      <c r="A292" s="17"/>
      <c r="B292" s="15" t="s">
        <v>90</v>
      </c>
      <c r="C292" s="21">
        <v>51245.100702576114</v>
      </c>
    </row>
    <row r="293" spans="1:3" x14ac:dyDescent="0.2">
      <c r="A293" s="17"/>
      <c r="B293" s="15" t="s">
        <v>91</v>
      </c>
      <c r="C293" s="21">
        <v>28118.552693208432</v>
      </c>
    </row>
    <row r="294" spans="1:3" x14ac:dyDescent="0.2">
      <c r="A294" s="17"/>
      <c r="B294" s="15" t="s">
        <v>92</v>
      </c>
      <c r="C294" s="21">
        <v>14673.252927400468</v>
      </c>
    </row>
    <row r="295" spans="1:3" x14ac:dyDescent="0.2">
      <c r="A295" s="17"/>
      <c r="B295" s="15" t="s">
        <v>93</v>
      </c>
      <c r="C295" s="21">
        <v>14528.236533957846</v>
      </c>
    </row>
    <row r="296" spans="1:3" x14ac:dyDescent="0.2">
      <c r="A296" s="17"/>
      <c r="B296" s="15" t="s">
        <v>94</v>
      </c>
      <c r="C296" s="21">
        <v>12569.969555035128</v>
      </c>
    </row>
    <row r="297" spans="1:3" x14ac:dyDescent="0.2">
      <c r="A297" s="17"/>
      <c r="B297" s="15" t="s">
        <v>95</v>
      </c>
      <c r="C297" s="21">
        <v>13560.081967213115</v>
      </c>
    </row>
    <row r="298" spans="1:3" x14ac:dyDescent="0.2">
      <c r="A298" s="17"/>
      <c r="B298" s="15" t="s">
        <v>96</v>
      </c>
      <c r="C298" s="21">
        <v>10165.64637002342</v>
      </c>
    </row>
    <row r="299" spans="1:3" x14ac:dyDescent="0.2">
      <c r="A299" s="17"/>
      <c r="B299" s="15" t="s">
        <v>97</v>
      </c>
      <c r="C299" s="21">
        <v>15858.758782201405</v>
      </c>
    </row>
    <row r="300" spans="1:3" x14ac:dyDescent="0.2">
      <c r="A300" s="24" t="s">
        <v>79</v>
      </c>
      <c r="B300" s="14"/>
      <c r="C300" s="22">
        <f>SUM(C288:C299)</f>
        <v>313385.78220140515</v>
      </c>
    </row>
    <row r="301" spans="1:3" x14ac:dyDescent="0.2">
      <c r="A301" s="16" t="s">
        <v>23</v>
      </c>
      <c r="B301" s="15" t="s">
        <v>86</v>
      </c>
      <c r="C301" s="21">
        <v>29023.857142857145</v>
      </c>
    </row>
    <row r="302" spans="1:3" x14ac:dyDescent="0.2">
      <c r="A302" s="17"/>
      <c r="B302" s="15" t="s">
        <v>87</v>
      </c>
      <c r="C302" s="21">
        <v>26342.295081967211</v>
      </c>
    </row>
    <row r="303" spans="1:3" x14ac:dyDescent="0.2">
      <c r="A303" s="17"/>
      <c r="B303" s="15" t="s">
        <v>88</v>
      </c>
      <c r="C303" s="21">
        <v>27086.847775175644</v>
      </c>
    </row>
    <row r="304" spans="1:3" x14ac:dyDescent="0.2">
      <c r="A304" s="17"/>
      <c r="B304" s="15" t="s">
        <v>89</v>
      </c>
      <c r="C304" s="21">
        <v>10517.920374707261</v>
      </c>
    </row>
    <row r="305" spans="1:3" x14ac:dyDescent="0.2">
      <c r="A305" s="17"/>
      <c r="B305" s="15" t="s">
        <v>90</v>
      </c>
      <c r="C305" s="21">
        <v>24952.360655737706</v>
      </c>
    </row>
    <row r="306" spans="1:3" x14ac:dyDescent="0.2">
      <c r="A306" s="17"/>
      <c r="B306" s="15" t="s">
        <v>91</v>
      </c>
      <c r="C306" s="21">
        <v>15470.679156908665</v>
      </c>
    </row>
    <row r="307" spans="1:3" x14ac:dyDescent="0.2">
      <c r="A307" s="17"/>
      <c r="B307" s="15" t="s">
        <v>92</v>
      </c>
      <c r="C307" s="21">
        <v>11482.182669789227</v>
      </c>
    </row>
    <row r="308" spans="1:3" x14ac:dyDescent="0.2">
      <c r="A308" s="17"/>
      <c r="B308" s="15" t="s">
        <v>93</v>
      </c>
      <c r="C308" s="21">
        <v>9114.7096018735356</v>
      </c>
    </row>
    <row r="309" spans="1:3" x14ac:dyDescent="0.2">
      <c r="A309" s="17"/>
      <c r="B309" s="15" t="s">
        <v>94</v>
      </c>
      <c r="C309" s="21">
        <v>10461.103044496485</v>
      </c>
    </row>
    <row r="310" spans="1:3" x14ac:dyDescent="0.2">
      <c r="A310" s="17"/>
      <c r="B310" s="15" t="s">
        <v>95</v>
      </c>
      <c r="C310" s="21">
        <v>15454.990632318501</v>
      </c>
    </row>
    <row r="311" spans="1:3" x14ac:dyDescent="0.2">
      <c r="A311" s="17"/>
      <c r="B311" s="15" t="s">
        <v>96</v>
      </c>
      <c r="C311" s="21">
        <v>15433.887587822013</v>
      </c>
    </row>
    <row r="312" spans="1:3" x14ac:dyDescent="0.2">
      <c r="A312" s="17"/>
      <c r="B312" s="15" t="s">
        <v>97</v>
      </c>
      <c r="C312" s="21">
        <v>15796.737704918032</v>
      </c>
    </row>
    <row r="313" spans="1:3" x14ac:dyDescent="0.2">
      <c r="A313" s="24" t="s">
        <v>80</v>
      </c>
      <c r="B313" s="14"/>
      <c r="C313" s="22">
        <f>SUM(C301:C312)</f>
        <v>211137.57142857142</v>
      </c>
    </row>
    <row r="314" spans="1:3" x14ac:dyDescent="0.2">
      <c r="A314" s="16" t="s">
        <v>24</v>
      </c>
      <c r="B314" s="15" t="s">
        <v>86</v>
      </c>
      <c r="C314" s="21">
        <v>17024.018735362995</v>
      </c>
    </row>
    <row r="315" spans="1:3" x14ac:dyDescent="0.2">
      <c r="A315" s="17"/>
      <c r="B315" s="15" t="s">
        <v>87</v>
      </c>
      <c r="C315" s="21">
        <v>11968.88524590164</v>
      </c>
    </row>
    <row r="316" spans="1:3" x14ac:dyDescent="0.2">
      <c r="A316" s="17"/>
      <c r="B316" s="15" t="s">
        <v>88</v>
      </c>
      <c r="C316" s="21">
        <v>13132.644028103045</v>
      </c>
    </row>
    <row r="317" spans="1:3" x14ac:dyDescent="0.2">
      <c r="A317" s="17"/>
      <c r="B317" s="15" t="s">
        <v>89</v>
      </c>
      <c r="C317" s="21">
        <v>1914</v>
      </c>
    </row>
    <row r="318" spans="1:3" x14ac:dyDescent="0.2">
      <c r="A318" s="17"/>
      <c r="B318" s="15" t="s">
        <v>90</v>
      </c>
      <c r="C318" s="21">
        <v>18740.45433255269</v>
      </c>
    </row>
    <row r="319" spans="1:3" x14ac:dyDescent="0.2">
      <c r="A319" s="17"/>
      <c r="B319" s="15" t="s">
        <v>91</v>
      </c>
      <c r="C319" s="21">
        <v>11515.105386416861</v>
      </c>
    </row>
    <row r="320" spans="1:3" x14ac:dyDescent="0.2">
      <c r="A320" s="17"/>
      <c r="B320" s="15" t="s">
        <v>92</v>
      </c>
      <c r="C320" s="21">
        <v>5058.4051522248246</v>
      </c>
    </row>
    <row r="321" spans="1:3" x14ac:dyDescent="0.2">
      <c r="A321" s="17"/>
      <c r="B321" s="15" t="s">
        <v>93</v>
      </c>
      <c r="C321" s="21">
        <v>4632.5597189695545</v>
      </c>
    </row>
    <row r="322" spans="1:3" x14ac:dyDescent="0.2">
      <c r="A322" s="17"/>
      <c r="B322" s="15" t="s">
        <v>94</v>
      </c>
      <c r="C322" s="21">
        <v>3033.128805620609</v>
      </c>
    </row>
    <row r="323" spans="1:3" x14ac:dyDescent="0.2">
      <c r="A323" s="17"/>
      <c r="B323" s="15" t="s">
        <v>95</v>
      </c>
      <c r="C323" s="21">
        <v>3825.0843091334896</v>
      </c>
    </row>
    <row r="324" spans="1:3" x14ac:dyDescent="0.2">
      <c r="A324" s="17"/>
      <c r="B324" s="15" t="s">
        <v>96</v>
      </c>
      <c r="C324" s="21">
        <v>4808.138173302108</v>
      </c>
    </row>
    <row r="325" spans="1:3" x14ac:dyDescent="0.2">
      <c r="A325" s="17"/>
      <c r="B325" s="15" t="s">
        <v>97</v>
      </c>
      <c r="C325" s="21">
        <v>5271.2224824355972</v>
      </c>
    </row>
    <row r="326" spans="1:3" x14ac:dyDescent="0.2">
      <c r="A326" s="24" t="s">
        <v>81</v>
      </c>
      <c r="B326" s="14"/>
      <c r="C326" s="22">
        <f>SUM(C314:C325)</f>
        <v>100923.6463700234</v>
      </c>
    </row>
    <row r="327" spans="1:3" x14ac:dyDescent="0.2">
      <c r="A327" s="16" t="s">
        <v>25</v>
      </c>
      <c r="B327" s="15" t="s">
        <v>86</v>
      </c>
      <c r="C327" s="21">
        <v>6322.9648711943792</v>
      </c>
    </row>
    <row r="328" spans="1:3" x14ac:dyDescent="0.2">
      <c r="A328" s="17"/>
      <c r="B328" s="15" t="s">
        <v>87</v>
      </c>
      <c r="C328" s="21">
        <v>1223</v>
      </c>
    </row>
    <row r="329" spans="1:3" x14ac:dyDescent="0.2">
      <c r="A329" s="17"/>
      <c r="B329" s="15" t="s">
        <v>88</v>
      </c>
      <c r="C329" s="21">
        <v>2013.6252927400469</v>
      </c>
    </row>
    <row r="330" spans="1:3" x14ac:dyDescent="0.2">
      <c r="A330" s="17"/>
      <c r="B330" s="15" t="s">
        <v>89</v>
      </c>
      <c r="C330" s="21">
        <v>3571.8290398126464</v>
      </c>
    </row>
    <row r="331" spans="1:3" x14ac:dyDescent="0.2">
      <c r="A331" s="17"/>
      <c r="B331" s="15" t="s">
        <v>90</v>
      </c>
      <c r="C331" s="21">
        <v>3951.2224824355972</v>
      </c>
    </row>
    <row r="332" spans="1:3" x14ac:dyDescent="0.2">
      <c r="A332" s="17"/>
      <c r="B332" s="15" t="s">
        <v>91</v>
      </c>
      <c r="C332" s="21">
        <v>4311.1311475409839</v>
      </c>
    </row>
    <row r="333" spans="1:3" x14ac:dyDescent="0.2">
      <c r="A333" s="17"/>
      <c r="B333" s="15" t="s">
        <v>92</v>
      </c>
      <c r="C333" s="21">
        <v>5366.9016393442625</v>
      </c>
    </row>
    <row r="334" spans="1:3" x14ac:dyDescent="0.2">
      <c r="A334" s="17"/>
      <c r="B334" s="15" t="s">
        <v>93</v>
      </c>
      <c r="C334" s="21">
        <v>3027.042154566745</v>
      </c>
    </row>
    <row r="335" spans="1:3" x14ac:dyDescent="0.2">
      <c r="A335" s="17"/>
      <c r="B335" s="15" t="s">
        <v>94</v>
      </c>
      <c r="C335" s="21">
        <v>3055.0327868852455</v>
      </c>
    </row>
    <row r="336" spans="1:3" x14ac:dyDescent="0.2">
      <c r="A336" s="17"/>
      <c r="B336" s="15" t="s">
        <v>95</v>
      </c>
      <c r="C336" s="21">
        <v>3445.6042154566744</v>
      </c>
    </row>
    <row r="337" spans="1:3" x14ac:dyDescent="0.2">
      <c r="A337" s="17"/>
      <c r="B337" s="15" t="s">
        <v>96</v>
      </c>
      <c r="C337" s="21">
        <v>4431.8688524590161</v>
      </c>
    </row>
    <row r="338" spans="1:3" x14ac:dyDescent="0.2">
      <c r="A338" s="17"/>
      <c r="B338" s="15" t="s">
        <v>97</v>
      </c>
      <c r="C338" s="21">
        <v>7823.1030444964872</v>
      </c>
    </row>
    <row r="339" spans="1:3" x14ac:dyDescent="0.2">
      <c r="A339" s="24" t="s">
        <v>82</v>
      </c>
      <c r="B339" s="14"/>
      <c r="C339" s="22">
        <f>SUM(C327:C338)</f>
        <v>48543.325526932087</v>
      </c>
    </row>
    <row r="340" spans="1:3" x14ac:dyDescent="0.2">
      <c r="A340" s="16" t="s">
        <v>26</v>
      </c>
      <c r="B340" s="15" t="s">
        <v>86</v>
      </c>
      <c r="C340" s="21">
        <v>27139.573770491803</v>
      </c>
    </row>
    <row r="341" spans="1:3" x14ac:dyDescent="0.2">
      <c r="A341" s="17"/>
      <c r="B341" s="15" t="s">
        <v>87</v>
      </c>
      <c r="C341" s="21">
        <v>28818.995316159249</v>
      </c>
    </row>
    <row r="342" spans="1:3" x14ac:dyDescent="0.2">
      <c r="A342" s="17"/>
      <c r="B342" s="15" t="s">
        <v>88</v>
      </c>
      <c r="C342" s="21">
        <v>32697.461358313813</v>
      </c>
    </row>
    <row r="343" spans="1:3" x14ac:dyDescent="0.2">
      <c r="A343" s="17"/>
      <c r="B343" s="15" t="s">
        <v>89</v>
      </c>
      <c r="C343" s="21">
        <v>2209</v>
      </c>
    </row>
    <row r="344" spans="1:3" x14ac:dyDescent="0.2">
      <c r="A344" s="17"/>
      <c r="B344" s="15" t="s">
        <v>90</v>
      </c>
      <c r="C344" s="21">
        <v>30248.709601873536</v>
      </c>
    </row>
    <row r="345" spans="1:3" x14ac:dyDescent="0.2">
      <c r="A345" s="17"/>
      <c r="B345" s="15" t="s">
        <v>91</v>
      </c>
      <c r="C345" s="21">
        <v>19969.142857142855</v>
      </c>
    </row>
    <row r="346" spans="1:3" x14ac:dyDescent="0.2">
      <c r="A346" s="17"/>
      <c r="B346" s="15" t="s">
        <v>92</v>
      </c>
      <c r="C346" s="21">
        <v>28545.857142857141</v>
      </c>
    </row>
    <row r="347" spans="1:3" x14ac:dyDescent="0.2">
      <c r="A347" s="17"/>
      <c r="B347" s="15" t="s">
        <v>93</v>
      </c>
      <c r="C347" s="21">
        <v>20498.58548009368</v>
      </c>
    </row>
    <row r="348" spans="1:3" x14ac:dyDescent="0.2">
      <c r="A348" s="17"/>
      <c r="B348" s="15" t="s">
        <v>94</v>
      </c>
      <c r="C348" s="21">
        <v>20369.496487119439</v>
      </c>
    </row>
    <row r="349" spans="1:3" x14ac:dyDescent="0.2">
      <c r="A349" s="17"/>
      <c r="B349" s="15" t="s">
        <v>95</v>
      </c>
      <c r="C349" s="21">
        <v>22343.426229508197</v>
      </c>
    </row>
    <row r="350" spans="1:3" x14ac:dyDescent="0.2">
      <c r="A350" s="17"/>
      <c r="B350" s="15" t="s">
        <v>96</v>
      </c>
      <c r="C350" s="21">
        <v>12808.789227166275</v>
      </c>
    </row>
    <row r="351" spans="1:3" x14ac:dyDescent="0.2">
      <c r="A351" s="17"/>
      <c r="B351" s="15" t="s">
        <v>97</v>
      </c>
      <c r="C351" s="21">
        <v>9676.2927400468379</v>
      </c>
    </row>
    <row r="352" spans="1:3" x14ac:dyDescent="0.2">
      <c r="A352" s="24" t="s">
        <v>83</v>
      </c>
      <c r="B352" s="14"/>
      <c r="C352" s="22">
        <f>SUM(C340:C351)</f>
        <v>255325.33021077281</v>
      </c>
    </row>
    <row r="353" spans="1:3" x14ac:dyDescent="0.2">
      <c r="A353" s="16" t="s">
        <v>27</v>
      </c>
      <c r="B353" s="15" t="s">
        <v>86</v>
      </c>
      <c r="C353" s="21">
        <v>25493.093676814988</v>
      </c>
    </row>
    <row r="354" spans="1:3" x14ac:dyDescent="0.2">
      <c r="A354" s="17"/>
      <c r="B354" s="15" t="s">
        <v>87</v>
      </c>
      <c r="C354" s="21">
        <v>14527.775175644028</v>
      </c>
    </row>
    <row r="355" spans="1:3" x14ac:dyDescent="0.2">
      <c r="A355" s="17"/>
      <c r="B355" s="15" t="s">
        <v>88</v>
      </c>
      <c r="C355" s="21">
        <v>18685.367681498828</v>
      </c>
    </row>
    <row r="356" spans="1:3" x14ac:dyDescent="0.2">
      <c r="A356" s="17"/>
      <c r="B356" s="15" t="s">
        <v>89</v>
      </c>
      <c r="C356" s="21">
        <v>14457.433255269319</v>
      </c>
    </row>
    <row r="357" spans="1:3" x14ac:dyDescent="0.2">
      <c r="A357" s="17"/>
      <c r="B357" s="15" t="s">
        <v>90</v>
      </c>
      <c r="C357" s="21">
        <v>5481.3395784543327</v>
      </c>
    </row>
    <row r="358" spans="1:3" x14ac:dyDescent="0.2">
      <c r="A358" s="17"/>
      <c r="B358" s="15" t="s">
        <v>91</v>
      </c>
      <c r="C358" s="21">
        <v>2874.3606557377047</v>
      </c>
    </row>
    <row r="359" spans="1:3" x14ac:dyDescent="0.2">
      <c r="A359" s="17"/>
      <c r="B359" s="15" t="s">
        <v>92</v>
      </c>
      <c r="C359" s="21">
        <v>6776.6135831381735</v>
      </c>
    </row>
    <row r="360" spans="1:3" x14ac:dyDescent="0.2">
      <c r="A360" s="17"/>
      <c r="B360" s="15" t="s">
        <v>93</v>
      </c>
      <c r="C360" s="21">
        <v>6032.6299765807962</v>
      </c>
    </row>
    <row r="361" spans="1:3" x14ac:dyDescent="0.2">
      <c r="A361" s="17"/>
      <c r="B361" s="15" t="s">
        <v>94</v>
      </c>
      <c r="C361" s="21">
        <v>6501.2857142857138</v>
      </c>
    </row>
    <row r="362" spans="1:3" x14ac:dyDescent="0.2">
      <c r="A362" s="17"/>
      <c r="B362" s="15" t="s">
        <v>95</v>
      </c>
      <c r="C362" s="21">
        <v>8257.484777517564</v>
      </c>
    </row>
    <row r="363" spans="1:3" x14ac:dyDescent="0.2">
      <c r="A363" s="17"/>
      <c r="B363" s="15" t="s">
        <v>96</v>
      </c>
      <c r="C363" s="21">
        <v>6482.3091334894616</v>
      </c>
    </row>
    <row r="364" spans="1:3" x14ac:dyDescent="0.2">
      <c r="A364" s="17"/>
      <c r="B364" s="15" t="s">
        <v>97</v>
      </c>
      <c r="C364" s="21">
        <v>12661.669789227166</v>
      </c>
    </row>
    <row r="365" spans="1:3" x14ac:dyDescent="0.2">
      <c r="A365" s="24" t="s">
        <v>84</v>
      </c>
      <c r="B365" s="14"/>
      <c r="C365" s="22">
        <f>SUM(C353:C364)</f>
        <v>128231.36299765806</v>
      </c>
    </row>
    <row r="366" spans="1:3" x14ac:dyDescent="0.2">
      <c r="A366" s="16" t="s">
        <v>28</v>
      </c>
      <c r="B366" s="15" t="s">
        <v>86</v>
      </c>
      <c r="C366" s="21">
        <v>45713.512880562062</v>
      </c>
    </row>
    <row r="367" spans="1:3" x14ac:dyDescent="0.2">
      <c r="A367" s="17"/>
      <c r="B367" s="15" t="s">
        <v>87</v>
      </c>
      <c r="C367" s="21">
        <v>6728.1522248243564</v>
      </c>
    </row>
    <row r="368" spans="1:3" x14ac:dyDescent="0.2">
      <c r="A368" s="17"/>
      <c r="B368" s="15" t="s">
        <v>88</v>
      </c>
      <c r="C368" s="21">
        <v>42764.355971896955</v>
      </c>
    </row>
    <row r="369" spans="1:3" x14ac:dyDescent="0.2">
      <c r="A369" s="17"/>
      <c r="B369" s="15" t="s">
        <v>89</v>
      </c>
      <c r="C369" s="21">
        <v>15122.737704918032</v>
      </c>
    </row>
    <row r="370" spans="1:3" x14ac:dyDescent="0.2">
      <c r="A370" s="17"/>
      <c r="B370" s="15" t="s">
        <v>90</v>
      </c>
      <c r="C370" s="21">
        <v>42446.950819672129</v>
      </c>
    </row>
    <row r="371" spans="1:3" x14ac:dyDescent="0.2">
      <c r="A371" s="17"/>
      <c r="B371" s="15" t="s">
        <v>91</v>
      </c>
      <c r="C371" s="21">
        <v>23151.87119437939</v>
      </c>
    </row>
    <row r="372" spans="1:3" x14ac:dyDescent="0.2">
      <c r="A372" s="17"/>
      <c r="B372" s="15" t="s">
        <v>92</v>
      </c>
      <c r="C372" s="21">
        <v>16920.728337236535</v>
      </c>
    </row>
    <row r="373" spans="1:3" x14ac:dyDescent="0.2">
      <c r="A373" s="17"/>
      <c r="B373" s="15" t="s">
        <v>93</v>
      </c>
      <c r="C373" s="21">
        <v>12103.566744730679</v>
      </c>
    </row>
    <row r="374" spans="1:3" x14ac:dyDescent="0.2">
      <c r="A374" s="17"/>
      <c r="B374" s="15" t="s">
        <v>94</v>
      </c>
      <c r="C374" s="21">
        <v>13187.173302107727</v>
      </c>
    </row>
    <row r="375" spans="1:3" x14ac:dyDescent="0.2">
      <c r="A375" s="17"/>
      <c r="B375" s="15" t="s">
        <v>95</v>
      </c>
      <c r="C375" s="21">
        <v>17342.716627634662</v>
      </c>
    </row>
    <row r="376" spans="1:3" x14ac:dyDescent="0.2">
      <c r="A376" s="17"/>
      <c r="B376" s="15" t="s">
        <v>96</v>
      </c>
      <c r="C376" s="21">
        <v>12493.133489461357</v>
      </c>
    </row>
    <row r="377" spans="1:3" x14ac:dyDescent="0.2">
      <c r="A377" s="17"/>
      <c r="B377" s="15" t="s">
        <v>97</v>
      </c>
      <c r="C377" s="21">
        <v>20480.145199063234</v>
      </c>
    </row>
    <row r="378" spans="1:3" x14ac:dyDescent="0.2">
      <c r="A378" s="24" t="s">
        <v>85</v>
      </c>
      <c r="B378" s="14"/>
      <c r="C378" s="22">
        <f>SUM(C366:C377)</f>
        <v>268455.04449648713</v>
      </c>
    </row>
    <row r="379" spans="1:3" x14ac:dyDescent="0.2">
      <c r="A379" s="24" t="s">
        <v>122</v>
      </c>
      <c r="B379" s="19" t="s">
        <v>29</v>
      </c>
      <c r="C379" s="23">
        <f>SUM(C14,C27,C40,C53,C66,C79,C92,C105,C118,C131,C144,C157,C170,C183,C196,C209,C222,C235,C248,C261,C274,C287,C300,C313,C326,C339,C352,C365,C378)</f>
        <v>5936348.1686182655</v>
      </c>
    </row>
    <row r="380" spans="1:3" x14ac:dyDescent="0.2">
      <c r="C380" s="3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9"/>
  <sheetViews>
    <sheetView workbookViewId="0">
      <selection activeCell="D1" sqref="D1:F1048576"/>
    </sheetView>
  </sheetViews>
  <sheetFormatPr baseColWidth="10" defaultColWidth="8.83203125" defaultRowHeight="15" x14ac:dyDescent="0.2"/>
  <cols>
    <col min="1" max="1" width="19.83203125" customWidth="1"/>
    <col min="2" max="2" width="21.1640625" customWidth="1"/>
    <col min="3" max="3" width="16.83203125" customWidth="1"/>
  </cols>
  <sheetData>
    <row r="1" spans="1:3" s="26" customFormat="1" ht="30.75" customHeight="1" x14ac:dyDescent="0.2">
      <c r="A1" s="25" t="s">
        <v>30</v>
      </c>
      <c r="B1" s="25" t="s">
        <v>43</v>
      </c>
      <c r="C1" s="25" t="s">
        <v>123</v>
      </c>
    </row>
    <row r="2" spans="1:3" x14ac:dyDescent="0.2">
      <c r="A2" s="16" t="s">
        <v>0</v>
      </c>
      <c r="B2" s="16" t="s">
        <v>98</v>
      </c>
      <c r="C2" s="27">
        <v>30946</v>
      </c>
    </row>
    <row r="3" spans="1:3" x14ac:dyDescent="0.2">
      <c r="A3" s="17"/>
      <c r="B3" s="18" t="s">
        <v>99</v>
      </c>
      <c r="C3" s="28">
        <v>27090</v>
      </c>
    </row>
    <row r="4" spans="1:3" x14ac:dyDescent="0.2">
      <c r="A4" s="17"/>
      <c r="B4" s="18" t="s">
        <v>100</v>
      </c>
      <c r="C4" s="28">
        <v>30119</v>
      </c>
    </row>
    <row r="5" spans="1:3" x14ac:dyDescent="0.2">
      <c r="A5" s="17"/>
      <c r="B5" s="18" t="s">
        <v>101</v>
      </c>
      <c r="C5" s="28">
        <v>35275</v>
      </c>
    </row>
    <row r="6" spans="1:3" x14ac:dyDescent="0.2">
      <c r="A6" s="17"/>
      <c r="B6" s="18" t="s">
        <v>102</v>
      </c>
      <c r="C6" s="28">
        <v>28909</v>
      </c>
    </row>
    <row r="7" spans="1:3" x14ac:dyDescent="0.2">
      <c r="A7" s="17"/>
      <c r="B7" s="18" t="s">
        <v>103</v>
      </c>
      <c r="C7" s="28">
        <v>12440</v>
      </c>
    </row>
    <row r="8" spans="1:3" x14ac:dyDescent="0.2">
      <c r="A8" s="17"/>
      <c r="B8" s="18" t="s">
        <v>104</v>
      </c>
      <c r="C8" s="28">
        <v>9168</v>
      </c>
    </row>
    <row r="9" spans="1:3" x14ac:dyDescent="0.2">
      <c r="A9" s="17"/>
      <c r="B9" s="18" t="s">
        <v>105</v>
      </c>
      <c r="C9" s="28">
        <v>7463</v>
      </c>
    </row>
    <row r="10" spans="1:3" x14ac:dyDescent="0.2">
      <c r="A10" s="17"/>
      <c r="B10" s="18" t="s">
        <v>106</v>
      </c>
      <c r="C10" s="28">
        <v>8742</v>
      </c>
    </row>
    <row r="11" spans="1:3" x14ac:dyDescent="0.2">
      <c r="A11" s="17"/>
      <c r="B11" s="18" t="s">
        <v>107</v>
      </c>
      <c r="C11" s="28">
        <v>7516</v>
      </c>
    </row>
    <row r="12" spans="1:3" x14ac:dyDescent="0.2">
      <c r="A12" s="17"/>
      <c r="B12" s="18" t="s">
        <v>108</v>
      </c>
      <c r="C12" s="28">
        <v>5746</v>
      </c>
    </row>
    <row r="13" spans="1:3" x14ac:dyDescent="0.2">
      <c r="A13" s="17"/>
      <c r="B13" s="18" t="s">
        <v>109</v>
      </c>
      <c r="C13" s="28">
        <v>8274</v>
      </c>
    </row>
    <row r="14" spans="1:3" s="3" customFormat="1" x14ac:dyDescent="0.2">
      <c r="A14" s="24" t="s">
        <v>57</v>
      </c>
      <c r="B14" s="29"/>
      <c r="C14" s="22">
        <f>SUM(C2:C13)</f>
        <v>211688</v>
      </c>
    </row>
    <row r="15" spans="1:3" x14ac:dyDescent="0.2">
      <c r="A15" s="16" t="s">
        <v>1</v>
      </c>
      <c r="B15" s="16" t="s">
        <v>98</v>
      </c>
      <c r="C15" s="27">
        <v>42550</v>
      </c>
    </row>
    <row r="16" spans="1:3" x14ac:dyDescent="0.2">
      <c r="A16" s="17"/>
      <c r="B16" s="18" t="s">
        <v>99</v>
      </c>
      <c r="C16" s="28">
        <v>38823</v>
      </c>
    </row>
    <row r="17" spans="1:3" x14ac:dyDescent="0.2">
      <c r="A17" s="17"/>
      <c r="B17" s="18" t="s">
        <v>100</v>
      </c>
      <c r="C17" s="28">
        <v>44298</v>
      </c>
    </row>
    <row r="18" spans="1:3" x14ac:dyDescent="0.2">
      <c r="A18" s="17"/>
      <c r="B18" s="18" t="s">
        <v>101</v>
      </c>
      <c r="C18" s="28">
        <v>41594</v>
      </c>
    </row>
    <row r="19" spans="1:3" x14ac:dyDescent="0.2">
      <c r="A19" s="17"/>
      <c r="B19" s="18" t="s">
        <v>102</v>
      </c>
      <c r="C19" s="28">
        <v>33883</v>
      </c>
    </row>
    <row r="20" spans="1:3" x14ac:dyDescent="0.2">
      <c r="A20" s="17"/>
      <c r="B20" s="18" t="s">
        <v>103</v>
      </c>
      <c r="C20" s="28">
        <v>24297</v>
      </c>
    </row>
    <row r="21" spans="1:3" x14ac:dyDescent="0.2">
      <c r="A21" s="17"/>
      <c r="B21" s="18" t="s">
        <v>104</v>
      </c>
      <c r="C21" s="28">
        <v>16245</v>
      </c>
    </row>
    <row r="22" spans="1:3" x14ac:dyDescent="0.2">
      <c r="A22" s="17"/>
      <c r="B22" s="18" t="s">
        <v>105</v>
      </c>
      <c r="C22" s="28">
        <v>15440</v>
      </c>
    </row>
    <row r="23" spans="1:3" x14ac:dyDescent="0.2">
      <c r="A23" s="17"/>
      <c r="B23" s="18" t="s">
        <v>106</v>
      </c>
      <c r="C23" s="28">
        <v>12016</v>
      </c>
    </row>
    <row r="24" spans="1:3" x14ac:dyDescent="0.2">
      <c r="A24" s="17"/>
      <c r="B24" s="18" t="s">
        <v>107</v>
      </c>
      <c r="C24" s="28">
        <v>9088</v>
      </c>
    </row>
    <row r="25" spans="1:3" x14ac:dyDescent="0.2">
      <c r="A25" s="17"/>
      <c r="B25" s="18" t="s">
        <v>108</v>
      </c>
      <c r="C25" s="28">
        <v>9406</v>
      </c>
    </row>
    <row r="26" spans="1:3" x14ac:dyDescent="0.2">
      <c r="A26" s="17"/>
      <c r="B26" s="18" t="s">
        <v>109</v>
      </c>
      <c r="C26" s="28">
        <v>10892</v>
      </c>
    </row>
    <row r="27" spans="1:3" s="3" customFormat="1" x14ac:dyDescent="0.2">
      <c r="A27" s="24" t="s">
        <v>58</v>
      </c>
      <c r="B27" s="29"/>
      <c r="C27" s="22">
        <f>SUM(C15:C26)</f>
        <v>298532</v>
      </c>
    </row>
    <row r="28" spans="1:3" x14ac:dyDescent="0.2">
      <c r="A28" s="16" t="s">
        <v>2</v>
      </c>
      <c r="B28" s="16" t="s">
        <v>98</v>
      </c>
      <c r="C28" s="27">
        <v>22716</v>
      </c>
    </row>
    <row r="29" spans="1:3" x14ac:dyDescent="0.2">
      <c r="A29" s="17"/>
      <c r="B29" s="18" t="s">
        <v>99</v>
      </c>
      <c r="C29" s="28">
        <v>14212</v>
      </c>
    </row>
    <row r="30" spans="1:3" x14ac:dyDescent="0.2">
      <c r="A30" s="17"/>
      <c r="B30" s="18" t="s">
        <v>100</v>
      </c>
      <c r="C30" s="28">
        <v>18556</v>
      </c>
    </row>
    <row r="31" spans="1:3" x14ac:dyDescent="0.2">
      <c r="A31" s="17"/>
      <c r="B31" s="18" t="s">
        <v>101</v>
      </c>
      <c r="C31" s="28">
        <v>18009</v>
      </c>
    </row>
    <row r="32" spans="1:3" x14ac:dyDescent="0.2">
      <c r="A32" s="17"/>
      <c r="B32" s="18" t="s">
        <v>102</v>
      </c>
      <c r="C32" s="28">
        <v>21542</v>
      </c>
    </row>
    <row r="33" spans="1:3" x14ac:dyDescent="0.2">
      <c r="A33" s="17"/>
      <c r="B33" s="18" t="s">
        <v>103</v>
      </c>
      <c r="C33" s="28">
        <v>12989</v>
      </c>
    </row>
    <row r="34" spans="1:3" x14ac:dyDescent="0.2">
      <c r="A34" s="17"/>
      <c r="B34" s="18" t="s">
        <v>104</v>
      </c>
      <c r="C34" s="28">
        <v>11590</v>
      </c>
    </row>
    <row r="35" spans="1:3" x14ac:dyDescent="0.2">
      <c r="A35" s="17"/>
      <c r="B35" s="18" t="s">
        <v>105</v>
      </c>
      <c r="C35" s="28">
        <v>10983</v>
      </c>
    </row>
    <row r="36" spans="1:3" x14ac:dyDescent="0.2">
      <c r="A36" s="17"/>
      <c r="B36" s="18" t="s">
        <v>106</v>
      </c>
      <c r="C36" s="28">
        <v>10715</v>
      </c>
    </row>
    <row r="37" spans="1:3" x14ac:dyDescent="0.2">
      <c r="A37" s="17"/>
      <c r="B37" s="18" t="s">
        <v>107</v>
      </c>
      <c r="C37" s="28">
        <v>6498</v>
      </c>
    </row>
    <row r="38" spans="1:3" x14ac:dyDescent="0.2">
      <c r="A38" s="17"/>
      <c r="B38" s="18" t="s">
        <v>108</v>
      </c>
      <c r="C38" s="28">
        <v>4056</v>
      </c>
    </row>
    <row r="39" spans="1:3" x14ac:dyDescent="0.2">
      <c r="A39" s="17"/>
      <c r="B39" s="18" t="s">
        <v>109</v>
      </c>
      <c r="C39" s="28">
        <v>4965</v>
      </c>
    </row>
    <row r="40" spans="1:3" s="3" customFormat="1" x14ac:dyDescent="0.2">
      <c r="A40" s="24" t="s">
        <v>59</v>
      </c>
      <c r="B40" s="29"/>
      <c r="C40" s="22">
        <f>SUM(C28:C39)</f>
        <v>156831</v>
      </c>
    </row>
    <row r="41" spans="1:3" x14ac:dyDescent="0.2">
      <c r="A41" s="16" t="s">
        <v>3</v>
      </c>
      <c r="B41" s="16" t="s">
        <v>98</v>
      </c>
      <c r="C41" s="27">
        <v>6476</v>
      </c>
    </row>
    <row r="42" spans="1:3" x14ac:dyDescent="0.2">
      <c r="A42" s="17"/>
      <c r="B42" s="18" t="s">
        <v>99</v>
      </c>
      <c r="C42" s="28">
        <v>5328</v>
      </c>
    </row>
    <row r="43" spans="1:3" x14ac:dyDescent="0.2">
      <c r="A43" s="17"/>
      <c r="B43" s="18" t="s">
        <v>100</v>
      </c>
      <c r="C43" s="28">
        <v>7932</v>
      </c>
    </row>
    <row r="44" spans="1:3" x14ac:dyDescent="0.2">
      <c r="A44" s="17"/>
      <c r="B44" s="18" t="s">
        <v>101</v>
      </c>
      <c r="C44" s="28">
        <v>13555</v>
      </c>
    </row>
    <row r="45" spans="1:3" x14ac:dyDescent="0.2">
      <c r="A45" s="17"/>
      <c r="B45" s="18" t="s">
        <v>102</v>
      </c>
      <c r="C45" s="28">
        <v>11681</v>
      </c>
    </row>
    <row r="46" spans="1:3" x14ac:dyDescent="0.2">
      <c r="A46" s="17"/>
      <c r="B46" s="18" t="s">
        <v>103</v>
      </c>
      <c r="C46" s="28">
        <v>5399</v>
      </c>
    </row>
    <row r="47" spans="1:3" x14ac:dyDescent="0.2">
      <c r="A47" s="17"/>
      <c r="B47" s="18" t="s">
        <v>104</v>
      </c>
      <c r="C47" s="28">
        <v>2590</v>
      </c>
    </row>
    <row r="48" spans="1:3" x14ac:dyDescent="0.2">
      <c r="A48" s="17"/>
      <c r="B48" s="18" t="s">
        <v>105</v>
      </c>
      <c r="C48" s="28">
        <v>1678</v>
      </c>
    </row>
    <row r="49" spans="1:3" x14ac:dyDescent="0.2">
      <c r="A49" s="17"/>
      <c r="B49" s="18" t="s">
        <v>106</v>
      </c>
      <c r="C49" s="28">
        <v>2264</v>
      </c>
    </row>
    <row r="50" spans="1:3" x14ac:dyDescent="0.2">
      <c r="A50" s="17"/>
      <c r="B50" s="18" t="s">
        <v>107</v>
      </c>
      <c r="C50" s="28">
        <v>1987</v>
      </c>
    </row>
    <row r="51" spans="1:3" x14ac:dyDescent="0.2">
      <c r="A51" s="17"/>
      <c r="B51" s="18" t="s">
        <v>108</v>
      </c>
      <c r="C51" s="28">
        <v>1207</v>
      </c>
    </row>
    <row r="52" spans="1:3" x14ac:dyDescent="0.2">
      <c r="A52" s="17"/>
      <c r="B52" s="18" t="s">
        <v>109</v>
      </c>
      <c r="C52" s="28">
        <v>1559</v>
      </c>
    </row>
    <row r="53" spans="1:3" s="3" customFormat="1" x14ac:dyDescent="0.2">
      <c r="A53" s="24" t="s">
        <v>60</v>
      </c>
      <c r="B53" s="29"/>
      <c r="C53" s="22">
        <f>SUM(C41:C52)</f>
        <v>61656</v>
      </c>
    </row>
    <row r="54" spans="1:3" x14ac:dyDescent="0.2">
      <c r="A54" s="16" t="s">
        <v>4</v>
      </c>
      <c r="B54" s="16" t="s">
        <v>98</v>
      </c>
      <c r="C54" s="27">
        <v>9264</v>
      </c>
    </row>
    <row r="55" spans="1:3" x14ac:dyDescent="0.2">
      <c r="A55" s="17"/>
      <c r="B55" s="18" t="s">
        <v>99</v>
      </c>
      <c r="C55" s="28">
        <v>6186</v>
      </c>
    </row>
    <row r="56" spans="1:3" x14ac:dyDescent="0.2">
      <c r="A56" s="17"/>
      <c r="B56" s="18" t="s">
        <v>100</v>
      </c>
      <c r="C56" s="28">
        <v>7841</v>
      </c>
    </row>
    <row r="57" spans="1:3" x14ac:dyDescent="0.2">
      <c r="A57" s="17"/>
      <c r="B57" s="18" t="s">
        <v>101</v>
      </c>
      <c r="C57" s="28">
        <v>9516</v>
      </c>
    </row>
    <row r="58" spans="1:3" x14ac:dyDescent="0.2">
      <c r="A58" s="17"/>
      <c r="B58" s="18" t="s">
        <v>102</v>
      </c>
      <c r="C58" s="28">
        <v>6113</v>
      </c>
    </row>
    <row r="59" spans="1:3" x14ac:dyDescent="0.2">
      <c r="A59" s="17"/>
      <c r="B59" s="18" t="s">
        <v>103</v>
      </c>
      <c r="C59" s="28">
        <v>5550</v>
      </c>
    </row>
    <row r="60" spans="1:3" x14ac:dyDescent="0.2">
      <c r="A60" s="17"/>
      <c r="B60" s="18" t="s">
        <v>104</v>
      </c>
      <c r="C60" s="28">
        <v>4600</v>
      </c>
    </row>
    <row r="61" spans="1:3" x14ac:dyDescent="0.2">
      <c r="A61" s="17"/>
      <c r="B61" s="18" t="s">
        <v>105</v>
      </c>
      <c r="C61" s="28">
        <v>4362</v>
      </c>
    </row>
    <row r="62" spans="1:3" x14ac:dyDescent="0.2">
      <c r="A62" s="17"/>
      <c r="B62" s="18" t="s">
        <v>106</v>
      </c>
      <c r="C62" s="28">
        <v>4269</v>
      </c>
    </row>
    <row r="63" spans="1:3" x14ac:dyDescent="0.2">
      <c r="A63" s="17"/>
      <c r="B63" s="18" t="s">
        <v>107</v>
      </c>
      <c r="C63" s="28">
        <v>2999</v>
      </c>
    </row>
    <row r="64" spans="1:3" x14ac:dyDescent="0.2">
      <c r="A64" s="17"/>
      <c r="B64" s="18" t="s">
        <v>108</v>
      </c>
      <c r="C64" s="28">
        <v>2719</v>
      </c>
    </row>
    <row r="65" spans="1:3" x14ac:dyDescent="0.2">
      <c r="A65" s="17"/>
      <c r="B65" s="18" t="s">
        <v>109</v>
      </c>
      <c r="C65" s="28">
        <v>6350</v>
      </c>
    </row>
    <row r="66" spans="1:3" s="3" customFormat="1" x14ac:dyDescent="0.2">
      <c r="A66" s="24" t="s">
        <v>61</v>
      </c>
      <c r="B66" s="29"/>
      <c r="C66" s="22">
        <f>SUM(C54:C65)</f>
        <v>69769</v>
      </c>
    </row>
    <row r="67" spans="1:3" x14ac:dyDescent="0.2">
      <c r="A67" s="16" t="s">
        <v>5</v>
      </c>
      <c r="B67" s="16" t="s">
        <v>98</v>
      </c>
      <c r="C67" s="27">
        <v>31785</v>
      </c>
    </row>
    <row r="68" spans="1:3" x14ac:dyDescent="0.2">
      <c r="A68" s="17"/>
      <c r="B68" s="18" t="s">
        <v>99</v>
      </c>
      <c r="C68" s="28">
        <v>28144</v>
      </c>
    </row>
    <row r="69" spans="1:3" x14ac:dyDescent="0.2">
      <c r="A69" s="17"/>
      <c r="B69" s="18" t="s">
        <v>100</v>
      </c>
      <c r="C69" s="28">
        <v>35391</v>
      </c>
    </row>
    <row r="70" spans="1:3" x14ac:dyDescent="0.2">
      <c r="A70" s="17"/>
      <c r="B70" s="18" t="s">
        <v>101</v>
      </c>
      <c r="C70" s="28">
        <v>32648</v>
      </c>
    </row>
    <row r="71" spans="1:3" x14ac:dyDescent="0.2">
      <c r="A71" s="17"/>
      <c r="B71" s="18" t="s">
        <v>102</v>
      </c>
      <c r="C71" s="28">
        <v>26061</v>
      </c>
    </row>
    <row r="72" spans="1:3" x14ac:dyDescent="0.2">
      <c r="A72" s="17"/>
      <c r="B72" s="18" t="s">
        <v>103</v>
      </c>
      <c r="C72" s="28">
        <v>16397</v>
      </c>
    </row>
    <row r="73" spans="1:3" x14ac:dyDescent="0.2">
      <c r="A73" s="17"/>
      <c r="B73" s="18" t="s">
        <v>104</v>
      </c>
      <c r="C73" s="28">
        <v>11608</v>
      </c>
    </row>
    <row r="74" spans="1:3" x14ac:dyDescent="0.2">
      <c r="A74" s="17"/>
      <c r="B74" s="18" t="s">
        <v>105</v>
      </c>
      <c r="C74" s="28">
        <v>9806</v>
      </c>
    </row>
    <row r="75" spans="1:3" x14ac:dyDescent="0.2">
      <c r="A75" s="17"/>
      <c r="B75" s="18" t="s">
        <v>106</v>
      </c>
      <c r="C75" s="28">
        <v>11898</v>
      </c>
    </row>
    <row r="76" spans="1:3" x14ac:dyDescent="0.2">
      <c r="A76" s="17"/>
      <c r="B76" s="18" t="s">
        <v>107</v>
      </c>
      <c r="C76" s="28">
        <v>15459</v>
      </c>
    </row>
    <row r="77" spans="1:3" x14ac:dyDescent="0.2">
      <c r="A77" s="17"/>
      <c r="B77" s="18" t="s">
        <v>108</v>
      </c>
      <c r="C77" s="28">
        <v>13700</v>
      </c>
    </row>
    <row r="78" spans="1:3" x14ac:dyDescent="0.2">
      <c r="A78" s="17"/>
      <c r="B78" s="18" t="s">
        <v>109</v>
      </c>
      <c r="C78" s="28">
        <v>14831</v>
      </c>
    </row>
    <row r="79" spans="1:3" s="3" customFormat="1" x14ac:dyDescent="0.2">
      <c r="A79" s="24" t="s">
        <v>62</v>
      </c>
      <c r="B79" s="29"/>
      <c r="C79" s="22">
        <f>SUM(C67:C78)</f>
        <v>247728</v>
      </c>
    </row>
    <row r="80" spans="1:3" x14ac:dyDescent="0.2">
      <c r="A80" s="16" t="s">
        <v>6</v>
      </c>
      <c r="B80" s="16" t="s">
        <v>98</v>
      </c>
      <c r="C80" s="27">
        <v>46097</v>
      </c>
    </row>
    <row r="81" spans="1:3" x14ac:dyDescent="0.2">
      <c r="A81" s="17"/>
      <c r="B81" s="18" t="s">
        <v>99</v>
      </c>
      <c r="C81" s="28">
        <v>39370</v>
      </c>
    </row>
    <row r="82" spans="1:3" x14ac:dyDescent="0.2">
      <c r="A82" s="17"/>
      <c r="B82" s="18" t="s">
        <v>100</v>
      </c>
      <c r="C82" s="28">
        <v>47249</v>
      </c>
    </row>
    <row r="83" spans="1:3" x14ac:dyDescent="0.2">
      <c r="A83" s="17"/>
      <c r="B83" s="18" t="s">
        <v>101</v>
      </c>
      <c r="C83" s="28">
        <v>44521</v>
      </c>
    </row>
    <row r="84" spans="1:3" x14ac:dyDescent="0.2">
      <c r="A84" s="17"/>
      <c r="B84" s="18" t="s">
        <v>102</v>
      </c>
      <c r="C84" s="28">
        <v>53091</v>
      </c>
    </row>
    <row r="85" spans="1:3" x14ac:dyDescent="0.2">
      <c r="A85" s="17"/>
      <c r="B85" s="18" t="s">
        <v>103</v>
      </c>
      <c r="C85" s="28">
        <v>22273</v>
      </c>
    </row>
    <row r="86" spans="1:3" x14ac:dyDescent="0.2">
      <c r="A86" s="17"/>
      <c r="B86" s="18" t="s">
        <v>104</v>
      </c>
      <c r="C86" s="28">
        <v>20041</v>
      </c>
    </row>
    <row r="87" spans="1:3" x14ac:dyDescent="0.2">
      <c r="A87" s="17"/>
      <c r="B87" s="18" t="s">
        <v>105</v>
      </c>
      <c r="C87" s="28">
        <v>10909</v>
      </c>
    </row>
    <row r="88" spans="1:3" x14ac:dyDescent="0.2">
      <c r="A88" s="17"/>
      <c r="B88" s="18" t="s">
        <v>106</v>
      </c>
      <c r="C88" s="28">
        <v>12184</v>
      </c>
    </row>
    <row r="89" spans="1:3" x14ac:dyDescent="0.2">
      <c r="A89" s="17"/>
      <c r="B89" s="18" t="s">
        <v>107</v>
      </c>
      <c r="C89" s="28">
        <v>16871</v>
      </c>
    </row>
    <row r="90" spans="1:3" x14ac:dyDescent="0.2">
      <c r="A90" s="17"/>
      <c r="B90" s="18" t="s">
        <v>108</v>
      </c>
      <c r="C90" s="28">
        <v>11968</v>
      </c>
    </row>
    <row r="91" spans="1:3" x14ac:dyDescent="0.2">
      <c r="A91" s="17"/>
      <c r="B91" s="18" t="s">
        <v>109</v>
      </c>
      <c r="C91" s="28">
        <v>15262</v>
      </c>
    </row>
    <row r="92" spans="1:3" s="3" customFormat="1" x14ac:dyDescent="0.2">
      <c r="A92" s="24" t="s">
        <v>63</v>
      </c>
      <c r="B92" s="29"/>
      <c r="C92" s="22">
        <f>SUM(C80:C91)</f>
        <v>339836</v>
      </c>
    </row>
    <row r="93" spans="1:3" x14ac:dyDescent="0.2">
      <c r="A93" s="16" t="s">
        <v>7</v>
      </c>
      <c r="B93" s="16" t="s">
        <v>98</v>
      </c>
      <c r="C93" s="27">
        <v>21850</v>
      </c>
    </row>
    <row r="94" spans="1:3" x14ac:dyDescent="0.2">
      <c r="A94" s="17"/>
      <c r="B94" s="18" t="s">
        <v>99</v>
      </c>
      <c r="C94" s="28">
        <v>19317</v>
      </c>
    </row>
    <row r="95" spans="1:3" x14ac:dyDescent="0.2">
      <c r="A95" s="17"/>
      <c r="B95" s="18" t="s">
        <v>100</v>
      </c>
      <c r="C95" s="28">
        <v>13052</v>
      </c>
    </row>
    <row r="96" spans="1:3" x14ac:dyDescent="0.2">
      <c r="A96" s="17"/>
      <c r="B96" s="18" t="s">
        <v>101</v>
      </c>
      <c r="C96" s="28">
        <v>17982</v>
      </c>
    </row>
    <row r="97" spans="1:3" x14ac:dyDescent="0.2">
      <c r="A97" s="17"/>
      <c r="B97" s="18" t="s">
        <v>102</v>
      </c>
      <c r="C97" s="28">
        <v>14868</v>
      </c>
    </row>
    <row r="98" spans="1:3" x14ac:dyDescent="0.2">
      <c r="A98" s="17"/>
      <c r="B98" s="18" t="s">
        <v>103</v>
      </c>
      <c r="C98" s="28">
        <v>13428</v>
      </c>
    </row>
    <row r="99" spans="1:3" x14ac:dyDescent="0.2">
      <c r="A99" s="17"/>
      <c r="B99" s="18" t="s">
        <v>104</v>
      </c>
      <c r="C99" s="28">
        <v>14073</v>
      </c>
    </row>
    <row r="100" spans="1:3" x14ac:dyDescent="0.2">
      <c r="A100" s="17"/>
      <c r="B100" s="18" t="s">
        <v>105</v>
      </c>
      <c r="C100" s="28">
        <v>17546</v>
      </c>
    </row>
    <row r="101" spans="1:3" x14ac:dyDescent="0.2">
      <c r="A101" s="17"/>
      <c r="B101" s="18" t="s">
        <v>106</v>
      </c>
      <c r="C101" s="28">
        <v>15120</v>
      </c>
    </row>
    <row r="102" spans="1:3" x14ac:dyDescent="0.2">
      <c r="A102" s="17"/>
      <c r="B102" s="18" t="s">
        <v>107</v>
      </c>
      <c r="C102" s="28">
        <v>13807</v>
      </c>
    </row>
    <row r="103" spans="1:3" x14ac:dyDescent="0.2">
      <c r="A103" s="17"/>
      <c r="B103" s="18" t="s">
        <v>108</v>
      </c>
      <c r="C103" s="28">
        <v>9969</v>
      </c>
    </row>
    <row r="104" spans="1:3" x14ac:dyDescent="0.2">
      <c r="A104" s="17"/>
      <c r="B104" s="18" t="s">
        <v>109</v>
      </c>
      <c r="C104" s="28">
        <v>7252</v>
      </c>
    </row>
    <row r="105" spans="1:3" s="3" customFormat="1" x14ac:dyDescent="0.2">
      <c r="A105" s="24" t="s">
        <v>64</v>
      </c>
      <c r="B105" s="29"/>
      <c r="C105" s="22">
        <f>SUM(C93:C104)</f>
        <v>178264</v>
      </c>
    </row>
    <row r="106" spans="1:3" x14ac:dyDescent="0.2">
      <c r="A106" s="16" t="s">
        <v>8</v>
      </c>
      <c r="B106" s="16" t="s">
        <v>98</v>
      </c>
      <c r="C106" s="27">
        <v>49345</v>
      </c>
    </row>
    <row r="107" spans="1:3" x14ac:dyDescent="0.2">
      <c r="A107" s="17"/>
      <c r="B107" s="18" t="s">
        <v>99</v>
      </c>
      <c r="C107" s="28">
        <v>51977</v>
      </c>
    </row>
    <row r="108" spans="1:3" x14ac:dyDescent="0.2">
      <c r="A108" s="17"/>
      <c r="B108" s="18" t="s">
        <v>100</v>
      </c>
      <c r="C108" s="28">
        <v>59371</v>
      </c>
    </row>
    <row r="109" spans="1:3" x14ac:dyDescent="0.2">
      <c r="A109" s="17"/>
      <c r="B109" s="18" t="s">
        <v>101</v>
      </c>
      <c r="C109" s="28">
        <v>60656</v>
      </c>
    </row>
    <row r="110" spans="1:3" x14ac:dyDescent="0.2">
      <c r="A110" s="17"/>
      <c r="B110" s="18" t="s">
        <v>102</v>
      </c>
      <c r="C110" s="28">
        <v>59994</v>
      </c>
    </row>
    <row r="111" spans="1:3" x14ac:dyDescent="0.2">
      <c r="A111" s="17"/>
      <c r="B111" s="18" t="s">
        <v>103</v>
      </c>
      <c r="C111" s="28">
        <v>35228</v>
      </c>
    </row>
    <row r="112" spans="1:3" x14ac:dyDescent="0.2">
      <c r="A112" s="17"/>
      <c r="B112" s="18" t="s">
        <v>104</v>
      </c>
      <c r="C112" s="28">
        <v>19616</v>
      </c>
    </row>
    <row r="113" spans="1:3" x14ac:dyDescent="0.2">
      <c r="A113" s="17"/>
      <c r="B113" s="18" t="s">
        <v>105</v>
      </c>
      <c r="C113" s="28">
        <v>13886</v>
      </c>
    </row>
    <row r="114" spans="1:3" x14ac:dyDescent="0.2">
      <c r="A114" s="17"/>
      <c r="B114" s="18" t="s">
        <v>106</v>
      </c>
      <c r="C114" s="28">
        <v>13753</v>
      </c>
    </row>
    <row r="115" spans="1:3" x14ac:dyDescent="0.2">
      <c r="A115" s="17"/>
      <c r="B115" s="18" t="s">
        <v>107</v>
      </c>
      <c r="C115" s="28">
        <v>16721</v>
      </c>
    </row>
    <row r="116" spans="1:3" x14ac:dyDescent="0.2">
      <c r="A116" s="17"/>
      <c r="B116" s="18" t="s">
        <v>108</v>
      </c>
      <c r="C116" s="28">
        <v>13037</v>
      </c>
    </row>
    <row r="117" spans="1:3" x14ac:dyDescent="0.2">
      <c r="A117" s="17"/>
      <c r="B117" s="18" t="s">
        <v>109</v>
      </c>
      <c r="C117" s="28">
        <v>12653</v>
      </c>
    </row>
    <row r="118" spans="1:3" s="3" customFormat="1" x14ac:dyDescent="0.2">
      <c r="A118" s="24" t="s">
        <v>65</v>
      </c>
      <c r="B118" s="29"/>
      <c r="C118" s="22">
        <f>SUM(C106:C117)</f>
        <v>406237</v>
      </c>
    </row>
    <row r="119" spans="1:3" x14ac:dyDescent="0.2">
      <c r="A119" s="16" t="s">
        <v>9</v>
      </c>
      <c r="B119" s="16" t="s">
        <v>98</v>
      </c>
      <c r="C119" s="27">
        <v>660</v>
      </c>
    </row>
    <row r="120" spans="1:3" x14ac:dyDescent="0.2">
      <c r="A120" s="17"/>
      <c r="B120" s="18" t="s">
        <v>99</v>
      </c>
      <c r="C120" s="28">
        <v>596</v>
      </c>
    </row>
    <row r="121" spans="1:3" x14ac:dyDescent="0.2">
      <c r="A121" s="17"/>
      <c r="B121" s="18" t="s">
        <v>100</v>
      </c>
      <c r="C121" s="28">
        <v>1057</v>
      </c>
    </row>
    <row r="122" spans="1:3" x14ac:dyDescent="0.2">
      <c r="A122" s="17"/>
      <c r="B122" s="18" t="s">
        <v>101</v>
      </c>
      <c r="C122" s="28">
        <v>2102</v>
      </c>
    </row>
    <row r="123" spans="1:3" x14ac:dyDescent="0.2">
      <c r="A123" s="17"/>
      <c r="B123" s="18" t="s">
        <v>102</v>
      </c>
      <c r="C123" s="28">
        <v>1806</v>
      </c>
    </row>
    <row r="124" spans="1:3" x14ac:dyDescent="0.2">
      <c r="A124" s="17"/>
      <c r="B124" s="18" t="s">
        <v>103</v>
      </c>
      <c r="C124" s="28">
        <v>1233</v>
      </c>
    </row>
    <row r="125" spans="1:3" x14ac:dyDescent="0.2">
      <c r="A125" s="17"/>
      <c r="B125" s="18" t="s">
        <v>104</v>
      </c>
      <c r="C125" s="28">
        <v>585</v>
      </c>
    </row>
    <row r="126" spans="1:3" x14ac:dyDescent="0.2">
      <c r="A126" s="17"/>
      <c r="B126" s="18" t="s">
        <v>105</v>
      </c>
      <c r="C126" s="28">
        <v>514</v>
      </c>
    </row>
    <row r="127" spans="1:3" x14ac:dyDescent="0.2">
      <c r="A127" s="17"/>
      <c r="B127" s="18" t="s">
        <v>106</v>
      </c>
      <c r="C127" s="28">
        <v>717</v>
      </c>
    </row>
    <row r="128" spans="1:3" x14ac:dyDescent="0.2">
      <c r="A128" s="17"/>
      <c r="B128" s="18" t="s">
        <v>107</v>
      </c>
      <c r="C128" s="28">
        <v>582</v>
      </c>
    </row>
    <row r="129" spans="1:3" x14ac:dyDescent="0.2">
      <c r="A129" s="17"/>
      <c r="B129" s="18" t="s">
        <v>108</v>
      </c>
      <c r="C129" s="28">
        <v>544</v>
      </c>
    </row>
    <row r="130" spans="1:3" x14ac:dyDescent="0.2">
      <c r="A130" s="17"/>
      <c r="B130" s="18" t="s">
        <v>109</v>
      </c>
      <c r="C130" s="28">
        <v>416</v>
      </c>
    </row>
    <row r="131" spans="1:3" s="3" customFormat="1" x14ac:dyDescent="0.2">
      <c r="A131" s="24" t="s">
        <v>66</v>
      </c>
      <c r="B131" s="29"/>
      <c r="C131" s="22">
        <f>SUM(C119:C130)</f>
        <v>10812</v>
      </c>
    </row>
    <row r="132" spans="1:3" x14ac:dyDescent="0.2">
      <c r="A132" s="16" t="s">
        <v>10</v>
      </c>
      <c r="B132" s="16" t="s">
        <v>98</v>
      </c>
      <c r="C132" s="27">
        <v>89025</v>
      </c>
    </row>
    <row r="133" spans="1:3" x14ac:dyDescent="0.2">
      <c r="A133" s="17"/>
      <c r="B133" s="18" t="s">
        <v>99</v>
      </c>
      <c r="C133" s="28">
        <v>97999</v>
      </c>
    </row>
    <row r="134" spans="1:3" x14ac:dyDescent="0.2">
      <c r="A134" s="17"/>
      <c r="B134" s="18" t="s">
        <v>100</v>
      </c>
      <c r="C134" s="28">
        <v>132102</v>
      </c>
    </row>
    <row r="135" spans="1:3" x14ac:dyDescent="0.2">
      <c r="A135" s="17"/>
      <c r="B135" s="18" t="s">
        <v>101</v>
      </c>
      <c r="C135" s="28">
        <v>132836</v>
      </c>
    </row>
    <row r="136" spans="1:3" x14ac:dyDescent="0.2">
      <c r="A136" s="17"/>
      <c r="B136" s="18" t="s">
        <v>102</v>
      </c>
      <c r="C136" s="28">
        <v>110957</v>
      </c>
    </row>
    <row r="137" spans="1:3" x14ac:dyDescent="0.2">
      <c r="A137" s="17"/>
      <c r="B137" s="18" t="s">
        <v>103</v>
      </c>
      <c r="C137" s="28">
        <v>40331</v>
      </c>
    </row>
    <row r="138" spans="1:3" x14ac:dyDescent="0.2">
      <c r="A138" s="17"/>
      <c r="B138" s="18" t="s">
        <v>104</v>
      </c>
      <c r="C138" s="28">
        <v>43376</v>
      </c>
    </row>
    <row r="139" spans="1:3" x14ac:dyDescent="0.2">
      <c r="A139" s="17"/>
      <c r="B139" s="18" t="s">
        <v>105</v>
      </c>
      <c r="C139" s="28">
        <v>28381</v>
      </c>
    </row>
    <row r="140" spans="1:3" x14ac:dyDescent="0.2">
      <c r="A140" s="17"/>
      <c r="B140" s="18" t="s">
        <v>106</v>
      </c>
      <c r="C140" s="28">
        <v>27594</v>
      </c>
    </row>
    <row r="141" spans="1:3" x14ac:dyDescent="0.2">
      <c r="A141" s="17"/>
      <c r="B141" s="18" t="s">
        <v>107</v>
      </c>
      <c r="C141" s="28">
        <v>34609</v>
      </c>
    </row>
    <row r="142" spans="1:3" x14ac:dyDescent="0.2">
      <c r="A142" s="17"/>
      <c r="B142" s="18" t="s">
        <v>108</v>
      </c>
      <c r="C142" s="28">
        <v>35038</v>
      </c>
    </row>
    <row r="143" spans="1:3" x14ac:dyDescent="0.2">
      <c r="A143" s="17"/>
      <c r="B143" s="18" t="s">
        <v>109</v>
      </c>
      <c r="C143" s="28">
        <v>31131</v>
      </c>
    </row>
    <row r="144" spans="1:3" s="3" customFormat="1" x14ac:dyDescent="0.2">
      <c r="A144" s="24" t="s">
        <v>67</v>
      </c>
      <c r="B144" s="29"/>
      <c r="C144" s="22">
        <f>SUM(C132:C143)</f>
        <v>803379</v>
      </c>
    </row>
    <row r="145" spans="1:3" x14ac:dyDescent="0.2">
      <c r="A145" s="16" t="s">
        <v>11</v>
      </c>
      <c r="B145" s="16" t="s">
        <v>98</v>
      </c>
      <c r="C145" s="27">
        <v>31155</v>
      </c>
    </row>
    <row r="146" spans="1:3" x14ac:dyDescent="0.2">
      <c r="A146" s="17"/>
      <c r="B146" s="18" t="s">
        <v>99</v>
      </c>
      <c r="C146" s="28">
        <v>27411</v>
      </c>
    </row>
    <row r="147" spans="1:3" x14ac:dyDescent="0.2">
      <c r="A147" s="17"/>
      <c r="B147" s="18" t="s">
        <v>100</v>
      </c>
      <c r="C147" s="28">
        <v>34356</v>
      </c>
    </row>
    <row r="148" spans="1:3" x14ac:dyDescent="0.2">
      <c r="A148" s="17"/>
      <c r="B148" s="18" t="s">
        <v>101</v>
      </c>
      <c r="C148" s="28">
        <v>30791</v>
      </c>
    </row>
    <row r="149" spans="1:3" x14ac:dyDescent="0.2">
      <c r="A149" s="17"/>
      <c r="B149" s="18" t="s">
        <v>102</v>
      </c>
      <c r="C149" s="28">
        <v>28161</v>
      </c>
    </row>
    <row r="150" spans="1:3" x14ac:dyDescent="0.2">
      <c r="A150" s="17"/>
      <c r="B150" s="18" t="s">
        <v>103</v>
      </c>
      <c r="C150" s="28">
        <v>6579</v>
      </c>
    </row>
    <row r="151" spans="1:3" x14ac:dyDescent="0.2">
      <c r="A151" s="17"/>
      <c r="B151" s="18" t="s">
        <v>104</v>
      </c>
      <c r="C151" s="28">
        <v>15836</v>
      </c>
    </row>
    <row r="152" spans="1:3" x14ac:dyDescent="0.2">
      <c r="A152" s="17"/>
      <c r="B152" s="18" t="s">
        <v>105</v>
      </c>
      <c r="C152" s="28">
        <v>15264</v>
      </c>
    </row>
    <row r="153" spans="1:3" x14ac:dyDescent="0.2">
      <c r="A153" s="17"/>
      <c r="B153" s="18" t="s">
        <v>106</v>
      </c>
      <c r="C153" s="28">
        <v>15110</v>
      </c>
    </row>
    <row r="154" spans="1:3" x14ac:dyDescent="0.2">
      <c r="A154" s="17"/>
      <c r="B154" s="18" t="s">
        <v>107</v>
      </c>
      <c r="C154" s="28">
        <v>12107</v>
      </c>
    </row>
    <row r="155" spans="1:3" x14ac:dyDescent="0.2">
      <c r="A155" s="17"/>
      <c r="B155" s="18" t="s">
        <v>108</v>
      </c>
      <c r="C155" s="28">
        <v>9333</v>
      </c>
    </row>
    <row r="156" spans="1:3" x14ac:dyDescent="0.2">
      <c r="A156" s="17"/>
      <c r="B156" s="18" t="s">
        <v>109</v>
      </c>
      <c r="C156" s="28">
        <v>8321</v>
      </c>
    </row>
    <row r="157" spans="1:3" s="3" customFormat="1" x14ac:dyDescent="0.2">
      <c r="A157" s="24" t="s">
        <v>68</v>
      </c>
      <c r="B157" s="29"/>
      <c r="C157" s="22">
        <f>SUM(C145:C156)</f>
        <v>234424</v>
      </c>
    </row>
    <row r="158" spans="1:3" x14ac:dyDescent="0.2">
      <c r="A158" s="16" t="s">
        <v>12</v>
      </c>
      <c r="B158" s="16" t="s">
        <v>98</v>
      </c>
      <c r="C158" s="27">
        <v>47566</v>
      </c>
    </row>
    <row r="159" spans="1:3" x14ac:dyDescent="0.2">
      <c r="A159" s="17"/>
      <c r="B159" s="18" t="s">
        <v>99</v>
      </c>
      <c r="C159" s="28">
        <v>40599</v>
      </c>
    </row>
    <row r="160" spans="1:3" x14ac:dyDescent="0.2">
      <c r="A160" s="17"/>
      <c r="B160" s="18" t="s">
        <v>100</v>
      </c>
      <c r="C160" s="28">
        <v>49832</v>
      </c>
    </row>
    <row r="161" spans="1:3" x14ac:dyDescent="0.2">
      <c r="A161" s="17"/>
      <c r="B161" s="18" t="s">
        <v>101</v>
      </c>
      <c r="C161" s="28">
        <v>50217</v>
      </c>
    </row>
    <row r="162" spans="1:3" x14ac:dyDescent="0.2">
      <c r="A162" s="17"/>
      <c r="B162" s="18" t="s">
        <v>102</v>
      </c>
      <c r="C162" s="28">
        <v>51295</v>
      </c>
    </row>
    <row r="163" spans="1:3" x14ac:dyDescent="0.2">
      <c r="A163" s="17"/>
      <c r="B163" s="18" t="s">
        <v>103</v>
      </c>
      <c r="C163" s="28">
        <v>19498</v>
      </c>
    </row>
    <row r="164" spans="1:3" x14ac:dyDescent="0.2">
      <c r="A164" s="17"/>
      <c r="B164" s="18" t="s">
        <v>104</v>
      </c>
      <c r="C164" s="28">
        <v>28440</v>
      </c>
    </row>
    <row r="165" spans="1:3" x14ac:dyDescent="0.2">
      <c r="A165" s="17"/>
      <c r="B165" s="18" t="s">
        <v>105</v>
      </c>
      <c r="C165" s="28">
        <v>22091</v>
      </c>
    </row>
    <row r="166" spans="1:3" x14ac:dyDescent="0.2">
      <c r="A166" s="17"/>
      <c r="B166" s="18" t="s">
        <v>106</v>
      </c>
      <c r="C166" s="28">
        <v>29005</v>
      </c>
    </row>
    <row r="167" spans="1:3" x14ac:dyDescent="0.2">
      <c r="A167" s="17"/>
      <c r="B167" s="18" t="s">
        <v>107</v>
      </c>
      <c r="C167" s="28">
        <v>23652</v>
      </c>
    </row>
    <row r="168" spans="1:3" x14ac:dyDescent="0.2">
      <c r="A168" s="17"/>
      <c r="B168" s="18" t="s">
        <v>108</v>
      </c>
      <c r="C168" s="28">
        <v>16687</v>
      </c>
    </row>
    <row r="169" spans="1:3" x14ac:dyDescent="0.2">
      <c r="A169" s="17"/>
      <c r="B169" s="18" t="s">
        <v>109</v>
      </c>
      <c r="C169" s="28">
        <v>16887</v>
      </c>
    </row>
    <row r="170" spans="1:3" s="3" customFormat="1" x14ac:dyDescent="0.2">
      <c r="A170" s="24" t="s">
        <v>69</v>
      </c>
      <c r="B170" s="29"/>
      <c r="C170" s="22">
        <f>SUM(C158:C169)</f>
        <v>395769</v>
      </c>
    </row>
    <row r="171" spans="1:3" x14ac:dyDescent="0.2">
      <c r="A171" s="16" t="s">
        <v>13</v>
      </c>
      <c r="B171" s="16" t="s">
        <v>98</v>
      </c>
      <c r="C171" s="27">
        <v>39075</v>
      </c>
    </row>
    <row r="172" spans="1:3" x14ac:dyDescent="0.2">
      <c r="A172" s="17"/>
      <c r="B172" s="18" t="s">
        <v>99</v>
      </c>
      <c r="C172" s="28">
        <v>52668</v>
      </c>
    </row>
    <row r="173" spans="1:3" x14ac:dyDescent="0.2">
      <c r="A173" s="17"/>
      <c r="B173" s="18" t="s">
        <v>100</v>
      </c>
      <c r="C173" s="28">
        <v>58409</v>
      </c>
    </row>
    <row r="174" spans="1:3" x14ac:dyDescent="0.2">
      <c r="A174" s="17"/>
      <c r="B174" s="18" t="s">
        <v>101</v>
      </c>
      <c r="C174" s="28">
        <v>53574</v>
      </c>
    </row>
    <row r="175" spans="1:3" x14ac:dyDescent="0.2">
      <c r="A175" s="17"/>
      <c r="B175" s="18" t="s">
        <v>102</v>
      </c>
      <c r="C175" s="28">
        <v>45587</v>
      </c>
    </row>
    <row r="176" spans="1:3" x14ac:dyDescent="0.2">
      <c r="A176" s="17"/>
      <c r="B176" s="18" t="s">
        <v>103</v>
      </c>
      <c r="C176" s="28">
        <v>37303</v>
      </c>
    </row>
    <row r="177" spans="1:3" x14ac:dyDescent="0.2">
      <c r="A177" s="17"/>
      <c r="B177" s="18" t="s">
        <v>104</v>
      </c>
      <c r="C177" s="28">
        <v>18275</v>
      </c>
    </row>
    <row r="178" spans="1:3" x14ac:dyDescent="0.2">
      <c r="A178" s="17"/>
      <c r="B178" s="18" t="s">
        <v>105</v>
      </c>
      <c r="C178" s="28">
        <v>11238</v>
      </c>
    </row>
    <row r="179" spans="1:3" x14ac:dyDescent="0.2">
      <c r="A179" s="17"/>
      <c r="B179" s="18" t="s">
        <v>106</v>
      </c>
      <c r="C179" s="28">
        <v>15014</v>
      </c>
    </row>
    <row r="180" spans="1:3" x14ac:dyDescent="0.2">
      <c r="A180" s="17"/>
      <c r="B180" s="18" t="s">
        <v>107</v>
      </c>
      <c r="C180" s="28">
        <v>22850</v>
      </c>
    </row>
    <row r="181" spans="1:3" x14ac:dyDescent="0.2">
      <c r="A181" s="17"/>
      <c r="B181" s="18" t="s">
        <v>108</v>
      </c>
      <c r="C181" s="28">
        <v>14628</v>
      </c>
    </row>
    <row r="182" spans="1:3" x14ac:dyDescent="0.2">
      <c r="A182" s="17"/>
      <c r="B182" s="18" t="s">
        <v>109</v>
      </c>
      <c r="C182" s="28">
        <v>13578</v>
      </c>
    </row>
    <row r="183" spans="1:3" s="3" customFormat="1" x14ac:dyDescent="0.2">
      <c r="A183" s="24" t="s">
        <v>70</v>
      </c>
      <c r="B183" s="29"/>
      <c r="C183" s="22">
        <f>SUM(C171:C182)</f>
        <v>382199</v>
      </c>
    </row>
    <row r="184" spans="1:3" x14ac:dyDescent="0.2">
      <c r="A184" s="16" t="s">
        <v>14</v>
      </c>
      <c r="B184" s="16" t="s">
        <v>98</v>
      </c>
      <c r="C184" s="27">
        <v>45136</v>
      </c>
    </row>
    <row r="185" spans="1:3" x14ac:dyDescent="0.2">
      <c r="A185" s="17"/>
      <c r="B185" s="18" t="s">
        <v>99</v>
      </c>
      <c r="C185" s="28">
        <v>37401</v>
      </c>
    </row>
    <row r="186" spans="1:3" x14ac:dyDescent="0.2">
      <c r="A186" s="17"/>
      <c r="B186" s="18" t="s">
        <v>100</v>
      </c>
      <c r="C186" s="28">
        <v>36723</v>
      </c>
    </row>
    <row r="187" spans="1:3" x14ac:dyDescent="0.2">
      <c r="A187" s="17"/>
      <c r="B187" s="18" t="s">
        <v>101</v>
      </c>
      <c r="C187" s="28">
        <v>38527</v>
      </c>
    </row>
    <row r="188" spans="1:3" x14ac:dyDescent="0.2">
      <c r="A188" s="17"/>
      <c r="B188" s="18" t="s">
        <v>102</v>
      </c>
      <c r="C188" s="28">
        <v>37154</v>
      </c>
    </row>
    <row r="189" spans="1:3" x14ac:dyDescent="0.2">
      <c r="A189" s="17"/>
      <c r="B189" s="18" t="s">
        <v>103</v>
      </c>
      <c r="C189" s="28">
        <v>18676</v>
      </c>
    </row>
    <row r="190" spans="1:3" x14ac:dyDescent="0.2">
      <c r="A190" s="17"/>
      <c r="B190" s="18" t="s">
        <v>104</v>
      </c>
      <c r="C190" s="28">
        <v>15896</v>
      </c>
    </row>
    <row r="191" spans="1:3" x14ac:dyDescent="0.2">
      <c r="A191" s="17"/>
      <c r="B191" s="18" t="s">
        <v>105</v>
      </c>
      <c r="C191" s="28">
        <v>13935</v>
      </c>
    </row>
    <row r="192" spans="1:3" x14ac:dyDescent="0.2">
      <c r="A192" s="17"/>
      <c r="B192" s="18" t="s">
        <v>106</v>
      </c>
      <c r="C192" s="28">
        <v>14443</v>
      </c>
    </row>
    <row r="193" spans="1:3" x14ac:dyDescent="0.2">
      <c r="A193" s="17"/>
      <c r="B193" s="18" t="s">
        <v>107</v>
      </c>
      <c r="C193" s="28">
        <v>17774</v>
      </c>
    </row>
    <row r="194" spans="1:3" x14ac:dyDescent="0.2">
      <c r="A194" s="17"/>
      <c r="B194" s="18" t="s">
        <v>108</v>
      </c>
      <c r="C194" s="28">
        <v>18945</v>
      </c>
    </row>
    <row r="195" spans="1:3" x14ac:dyDescent="0.2">
      <c r="A195" s="17"/>
      <c r="B195" s="18" t="s">
        <v>109</v>
      </c>
      <c r="C195" s="28">
        <v>22007</v>
      </c>
    </row>
    <row r="196" spans="1:3" s="3" customFormat="1" x14ac:dyDescent="0.2">
      <c r="A196" s="24" t="s">
        <v>71</v>
      </c>
      <c r="B196" s="29"/>
      <c r="C196" s="22">
        <f>SUM(C184:C195)</f>
        <v>316617</v>
      </c>
    </row>
    <row r="197" spans="1:3" x14ac:dyDescent="0.2">
      <c r="A197" s="16" t="s">
        <v>15</v>
      </c>
      <c r="B197" s="16" t="s">
        <v>98</v>
      </c>
      <c r="C197" s="27">
        <v>11781</v>
      </c>
    </row>
    <row r="198" spans="1:3" x14ac:dyDescent="0.2">
      <c r="A198" s="17"/>
      <c r="B198" s="18" t="s">
        <v>99</v>
      </c>
      <c r="C198" s="28">
        <v>7145</v>
      </c>
    </row>
    <row r="199" spans="1:3" x14ac:dyDescent="0.2">
      <c r="A199" s="17"/>
      <c r="B199" s="18" t="s">
        <v>100</v>
      </c>
      <c r="C199" s="28">
        <v>9645</v>
      </c>
    </row>
    <row r="200" spans="1:3" x14ac:dyDescent="0.2">
      <c r="A200" s="17"/>
      <c r="B200" s="18" t="s">
        <v>101</v>
      </c>
      <c r="C200" s="28">
        <v>6761</v>
      </c>
    </row>
    <row r="201" spans="1:3" x14ac:dyDescent="0.2">
      <c r="A201" s="17"/>
      <c r="B201" s="18" t="s">
        <v>102</v>
      </c>
      <c r="C201" s="28">
        <v>2258</v>
      </c>
    </row>
    <row r="202" spans="1:3" x14ac:dyDescent="0.2">
      <c r="A202" s="17"/>
      <c r="B202" s="18" t="s">
        <v>103</v>
      </c>
      <c r="C202" s="28">
        <v>9974</v>
      </c>
    </row>
    <row r="203" spans="1:3" x14ac:dyDescent="0.2">
      <c r="A203" s="17"/>
      <c r="B203" s="18" t="s">
        <v>104</v>
      </c>
      <c r="C203" s="28">
        <v>5671</v>
      </c>
    </row>
    <row r="204" spans="1:3" x14ac:dyDescent="0.2">
      <c r="A204" s="17"/>
      <c r="B204" s="18" t="s">
        <v>105</v>
      </c>
      <c r="C204" s="28">
        <v>4100</v>
      </c>
    </row>
    <row r="205" spans="1:3" x14ac:dyDescent="0.2">
      <c r="A205" s="17"/>
      <c r="B205" s="18" t="s">
        <v>106</v>
      </c>
      <c r="C205" s="28">
        <v>5471</v>
      </c>
    </row>
    <row r="206" spans="1:3" x14ac:dyDescent="0.2">
      <c r="A206" s="17"/>
      <c r="B206" s="18" t="s">
        <v>107</v>
      </c>
      <c r="C206" s="28">
        <v>5104</v>
      </c>
    </row>
    <row r="207" spans="1:3" x14ac:dyDescent="0.2">
      <c r="A207" s="17"/>
      <c r="B207" s="18" t="s">
        <v>108</v>
      </c>
      <c r="C207" s="28">
        <v>3598</v>
      </c>
    </row>
    <row r="208" spans="1:3" x14ac:dyDescent="0.2">
      <c r="A208" s="17"/>
      <c r="B208" s="18" t="s">
        <v>109</v>
      </c>
      <c r="C208" s="28">
        <v>4446</v>
      </c>
    </row>
    <row r="209" spans="1:3" s="3" customFormat="1" x14ac:dyDescent="0.2">
      <c r="A209" s="24" t="s">
        <v>72</v>
      </c>
      <c r="B209" s="29"/>
      <c r="C209" s="22">
        <f>SUM(C197:C208)</f>
        <v>75954</v>
      </c>
    </row>
    <row r="210" spans="1:3" x14ac:dyDescent="0.2">
      <c r="A210" s="16" t="s">
        <v>16</v>
      </c>
      <c r="B210" s="16" t="s">
        <v>98</v>
      </c>
      <c r="C210" s="27">
        <v>22116</v>
      </c>
    </row>
    <row r="211" spans="1:3" x14ac:dyDescent="0.2">
      <c r="A211" s="17"/>
      <c r="B211" s="18" t="s">
        <v>99</v>
      </c>
      <c r="C211" s="28">
        <v>22971</v>
      </c>
    </row>
    <row r="212" spans="1:3" x14ac:dyDescent="0.2">
      <c r="A212" s="17"/>
      <c r="B212" s="18" t="s">
        <v>100</v>
      </c>
      <c r="C212" s="28">
        <v>33577</v>
      </c>
    </row>
    <row r="213" spans="1:3" x14ac:dyDescent="0.2">
      <c r="A213" s="17"/>
      <c r="B213" s="18" t="s">
        <v>101</v>
      </c>
      <c r="C213" s="28">
        <v>37578</v>
      </c>
    </row>
    <row r="214" spans="1:3" x14ac:dyDescent="0.2">
      <c r="A214" s="17"/>
      <c r="B214" s="18" t="s">
        <v>102</v>
      </c>
      <c r="C214" s="28">
        <v>32345</v>
      </c>
    </row>
    <row r="215" spans="1:3" x14ac:dyDescent="0.2">
      <c r="A215" s="17"/>
      <c r="B215" s="18" t="s">
        <v>103</v>
      </c>
      <c r="C215" s="28">
        <v>21995</v>
      </c>
    </row>
    <row r="216" spans="1:3" x14ac:dyDescent="0.2">
      <c r="A216" s="17"/>
      <c r="B216" s="18" t="s">
        <v>104</v>
      </c>
      <c r="C216" s="28">
        <v>11212</v>
      </c>
    </row>
    <row r="217" spans="1:3" x14ac:dyDescent="0.2">
      <c r="A217" s="17"/>
      <c r="B217" s="18" t="s">
        <v>105</v>
      </c>
      <c r="C217" s="28">
        <v>6048</v>
      </c>
    </row>
    <row r="218" spans="1:3" x14ac:dyDescent="0.2">
      <c r="A218" s="17"/>
      <c r="B218" s="18" t="s">
        <v>106</v>
      </c>
      <c r="C218" s="28">
        <v>5376</v>
      </c>
    </row>
    <row r="219" spans="1:3" x14ac:dyDescent="0.2">
      <c r="A219" s="17"/>
      <c r="B219" s="18" t="s">
        <v>107</v>
      </c>
      <c r="C219" s="28">
        <v>5550</v>
      </c>
    </row>
    <row r="220" spans="1:3" x14ac:dyDescent="0.2">
      <c r="A220" s="17"/>
      <c r="B220" s="18" t="s">
        <v>108</v>
      </c>
      <c r="C220" s="28">
        <v>5616</v>
      </c>
    </row>
    <row r="221" spans="1:3" x14ac:dyDescent="0.2">
      <c r="A221" s="17"/>
      <c r="B221" s="18" t="s">
        <v>109</v>
      </c>
      <c r="C221" s="28">
        <v>9107</v>
      </c>
    </row>
    <row r="222" spans="1:3" s="3" customFormat="1" x14ac:dyDescent="0.2">
      <c r="A222" s="24" t="s">
        <v>73</v>
      </c>
      <c r="B222" s="29"/>
      <c r="C222" s="22">
        <f>SUM(C210:C221)</f>
        <v>213491</v>
      </c>
    </row>
    <row r="223" spans="1:3" x14ac:dyDescent="0.2">
      <c r="A223" s="16" t="s">
        <v>17</v>
      </c>
      <c r="B223" s="16" t="s">
        <v>98</v>
      </c>
      <c r="C223" s="27">
        <v>18253</v>
      </c>
    </row>
    <row r="224" spans="1:3" x14ac:dyDescent="0.2">
      <c r="A224" s="17"/>
      <c r="B224" s="18" t="s">
        <v>99</v>
      </c>
      <c r="C224" s="28">
        <v>18538</v>
      </c>
    </row>
    <row r="225" spans="1:3" x14ac:dyDescent="0.2">
      <c r="A225" s="17"/>
      <c r="B225" s="18" t="s">
        <v>100</v>
      </c>
      <c r="C225" s="28">
        <v>24641</v>
      </c>
    </row>
    <row r="226" spans="1:3" x14ac:dyDescent="0.2">
      <c r="A226" s="17"/>
      <c r="B226" s="18" t="s">
        <v>101</v>
      </c>
      <c r="C226" s="28">
        <v>33026</v>
      </c>
    </row>
    <row r="227" spans="1:3" x14ac:dyDescent="0.2">
      <c r="A227" s="17"/>
      <c r="B227" s="18" t="s">
        <v>102</v>
      </c>
      <c r="C227" s="28">
        <v>31757</v>
      </c>
    </row>
    <row r="228" spans="1:3" x14ac:dyDescent="0.2">
      <c r="A228" s="17"/>
      <c r="B228" s="18" t="s">
        <v>103</v>
      </c>
      <c r="C228" s="28">
        <v>15778</v>
      </c>
    </row>
    <row r="229" spans="1:3" x14ac:dyDescent="0.2">
      <c r="A229" s="17"/>
      <c r="B229" s="18" t="s">
        <v>104</v>
      </c>
      <c r="C229" s="28">
        <v>13768</v>
      </c>
    </row>
    <row r="230" spans="1:3" x14ac:dyDescent="0.2">
      <c r="A230" s="17"/>
      <c r="B230" s="18" t="s">
        <v>105</v>
      </c>
      <c r="C230" s="28">
        <v>7551</v>
      </c>
    </row>
    <row r="231" spans="1:3" x14ac:dyDescent="0.2">
      <c r="A231" s="17"/>
      <c r="B231" s="18" t="s">
        <v>106</v>
      </c>
      <c r="C231" s="28">
        <v>6537</v>
      </c>
    </row>
    <row r="232" spans="1:3" x14ac:dyDescent="0.2">
      <c r="A232" s="17"/>
      <c r="B232" s="18" t="s">
        <v>107</v>
      </c>
      <c r="C232" s="28">
        <v>7812</v>
      </c>
    </row>
    <row r="233" spans="1:3" x14ac:dyDescent="0.2">
      <c r="A233" s="17"/>
      <c r="B233" s="18" t="s">
        <v>108</v>
      </c>
      <c r="C233" s="28">
        <v>6603</v>
      </c>
    </row>
    <row r="234" spans="1:3" x14ac:dyDescent="0.2">
      <c r="A234" s="17"/>
      <c r="B234" s="18" t="s">
        <v>109</v>
      </c>
      <c r="C234" s="28">
        <v>6570</v>
      </c>
    </row>
    <row r="235" spans="1:3" s="3" customFormat="1" x14ac:dyDescent="0.2">
      <c r="A235" s="24" t="s">
        <v>74</v>
      </c>
      <c r="B235" s="29"/>
      <c r="C235" s="22">
        <f>SUM(C223:C234)</f>
        <v>190834</v>
      </c>
    </row>
    <row r="236" spans="1:3" x14ac:dyDescent="0.2">
      <c r="A236" s="16" t="s">
        <v>18</v>
      </c>
      <c r="B236" s="16" t="s">
        <v>98</v>
      </c>
      <c r="C236" s="27">
        <v>22725</v>
      </c>
    </row>
    <row r="237" spans="1:3" x14ac:dyDescent="0.2">
      <c r="A237" s="17"/>
      <c r="B237" s="18" t="s">
        <v>99</v>
      </c>
      <c r="C237" s="28">
        <v>13299</v>
      </c>
    </row>
    <row r="238" spans="1:3" x14ac:dyDescent="0.2">
      <c r="A238" s="17"/>
      <c r="B238" s="18" t="s">
        <v>100</v>
      </c>
      <c r="C238" s="28">
        <v>17471</v>
      </c>
    </row>
    <row r="239" spans="1:3" x14ac:dyDescent="0.2">
      <c r="A239" s="17"/>
      <c r="B239" s="18" t="s">
        <v>101</v>
      </c>
      <c r="C239" s="28">
        <v>20818</v>
      </c>
    </row>
    <row r="240" spans="1:3" x14ac:dyDescent="0.2">
      <c r="A240" s="17"/>
      <c r="B240" s="18" t="s">
        <v>102</v>
      </c>
      <c r="C240" s="28">
        <v>18019</v>
      </c>
    </row>
    <row r="241" spans="1:3" x14ac:dyDescent="0.2">
      <c r="A241" s="17"/>
      <c r="B241" s="18" t="s">
        <v>103</v>
      </c>
      <c r="C241" s="28">
        <v>6754</v>
      </c>
    </row>
    <row r="242" spans="1:3" x14ac:dyDescent="0.2">
      <c r="A242" s="17"/>
      <c r="B242" s="18" t="s">
        <v>104</v>
      </c>
      <c r="C242" s="28">
        <v>7223</v>
      </c>
    </row>
    <row r="243" spans="1:3" x14ac:dyDescent="0.2">
      <c r="A243" s="17"/>
      <c r="B243" s="18" t="s">
        <v>105</v>
      </c>
      <c r="C243" s="28">
        <v>5364</v>
      </c>
    </row>
    <row r="244" spans="1:3" x14ac:dyDescent="0.2">
      <c r="A244" s="17"/>
      <c r="B244" s="18" t="s">
        <v>106</v>
      </c>
      <c r="C244" s="28">
        <v>7683</v>
      </c>
    </row>
    <row r="245" spans="1:3" x14ac:dyDescent="0.2">
      <c r="A245" s="17"/>
      <c r="B245" s="18" t="s">
        <v>107</v>
      </c>
      <c r="C245" s="28">
        <v>6986</v>
      </c>
    </row>
    <row r="246" spans="1:3" x14ac:dyDescent="0.2">
      <c r="A246" s="17"/>
      <c r="B246" s="18" t="s">
        <v>108</v>
      </c>
      <c r="C246" s="28">
        <v>4540</v>
      </c>
    </row>
    <row r="247" spans="1:3" x14ac:dyDescent="0.2">
      <c r="A247" s="17"/>
      <c r="B247" s="18" t="s">
        <v>109</v>
      </c>
      <c r="C247" s="28">
        <v>5368</v>
      </c>
    </row>
    <row r="248" spans="1:3" s="3" customFormat="1" x14ac:dyDescent="0.2">
      <c r="A248" s="24" t="s">
        <v>75</v>
      </c>
      <c r="B248" s="29"/>
      <c r="C248" s="22">
        <f>SUM(C236:C247)</f>
        <v>136250</v>
      </c>
    </row>
    <row r="249" spans="1:3" x14ac:dyDescent="0.2">
      <c r="A249" s="16" t="s">
        <v>19</v>
      </c>
      <c r="B249" s="16" t="s">
        <v>98</v>
      </c>
      <c r="C249" s="27">
        <v>32466</v>
      </c>
    </row>
    <row r="250" spans="1:3" x14ac:dyDescent="0.2">
      <c r="A250" s="17"/>
      <c r="B250" s="18" t="s">
        <v>99</v>
      </c>
      <c r="C250" s="28">
        <v>27766</v>
      </c>
    </row>
    <row r="251" spans="1:3" x14ac:dyDescent="0.2">
      <c r="A251" s="17"/>
      <c r="B251" s="18" t="s">
        <v>100</v>
      </c>
      <c r="C251" s="28">
        <v>29516</v>
      </c>
    </row>
    <row r="252" spans="1:3" x14ac:dyDescent="0.2">
      <c r="A252" s="17"/>
      <c r="B252" s="18" t="s">
        <v>101</v>
      </c>
      <c r="C252" s="28">
        <v>29879</v>
      </c>
    </row>
    <row r="253" spans="1:3" x14ac:dyDescent="0.2">
      <c r="A253" s="17"/>
      <c r="B253" s="18" t="s">
        <v>102</v>
      </c>
      <c r="C253" s="28">
        <v>28072</v>
      </c>
    </row>
    <row r="254" spans="1:3" x14ac:dyDescent="0.2">
      <c r="A254" s="17"/>
      <c r="B254" s="18" t="s">
        <v>103</v>
      </c>
      <c r="C254" s="28">
        <v>23021</v>
      </c>
    </row>
    <row r="255" spans="1:3" x14ac:dyDescent="0.2">
      <c r="A255" s="17"/>
      <c r="B255" s="18" t="s">
        <v>104</v>
      </c>
      <c r="C255" s="28">
        <v>21826</v>
      </c>
    </row>
    <row r="256" spans="1:3" x14ac:dyDescent="0.2">
      <c r="A256" s="17"/>
      <c r="B256" s="18" t="s">
        <v>105</v>
      </c>
      <c r="C256" s="28">
        <v>21065</v>
      </c>
    </row>
    <row r="257" spans="1:3" x14ac:dyDescent="0.2">
      <c r="A257" s="17"/>
      <c r="B257" s="18" t="s">
        <v>106</v>
      </c>
      <c r="C257" s="28">
        <v>22397</v>
      </c>
    </row>
    <row r="258" spans="1:3" x14ac:dyDescent="0.2">
      <c r="A258" s="17"/>
      <c r="B258" s="18" t="s">
        <v>107</v>
      </c>
      <c r="C258" s="28">
        <v>26305</v>
      </c>
    </row>
    <row r="259" spans="1:3" x14ac:dyDescent="0.2">
      <c r="A259" s="17"/>
      <c r="B259" s="18" t="s">
        <v>108</v>
      </c>
      <c r="C259" s="28">
        <v>28238</v>
      </c>
    </row>
    <row r="260" spans="1:3" x14ac:dyDescent="0.2">
      <c r="A260" s="17"/>
      <c r="B260" s="18" t="s">
        <v>109</v>
      </c>
      <c r="C260" s="28">
        <v>26328</v>
      </c>
    </row>
    <row r="261" spans="1:3" s="3" customFormat="1" x14ac:dyDescent="0.2">
      <c r="A261" s="24" t="s">
        <v>76</v>
      </c>
      <c r="B261" s="29"/>
      <c r="C261" s="22">
        <f>SUM(C249:C260)</f>
        <v>316879</v>
      </c>
    </row>
    <row r="262" spans="1:3" x14ac:dyDescent="0.2">
      <c r="A262" s="16" t="s">
        <v>20</v>
      </c>
      <c r="B262" s="16" t="s">
        <v>98</v>
      </c>
      <c r="C262" s="27">
        <v>41686</v>
      </c>
    </row>
    <row r="263" spans="1:3" x14ac:dyDescent="0.2">
      <c r="A263" s="17"/>
      <c r="B263" s="18" t="s">
        <v>99</v>
      </c>
      <c r="C263" s="28">
        <v>31040</v>
      </c>
    </row>
    <row r="264" spans="1:3" x14ac:dyDescent="0.2">
      <c r="A264" s="17"/>
      <c r="B264" s="18" t="s">
        <v>100</v>
      </c>
      <c r="C264" s="28">
        <v>31868</v>
      </c>
    </row>
    <row r="265" spans="1:3" x14ac:dyDescent="0.2">
      <c r="A265" s="17"/>
      <c r="B265" s="18" t="s">
        <v>101</v>
      </c>
      <c r="C265" s="28">
        <v>37785</v>
      </c>
    </row>
    <row r="266" spans="1:3" x14ac:dyDescent="0.2">
      <c r="A266" s="17"/>
      <c r="B266" s="18" t="s">
        <v>102</v>
      </c>
      <c r="C266" s="28">
        <v>35385</v>
      </c>
    </row>
    <row r="267" spans="1:3" x14ac:dyDescent="0.2">
      <c r="A267" s="17"/>
      <c r="B267" s="18" t="s">
        <v>103</v>
      </c>
      <c r="C267" s="28">
        <v>18217</v>
      </c>
    </row>
    <row r="268" spans="1:3" x14ac:dyDescent="0.2">
      <c r="A268" s="17"/>
      <c r="B268" s="18" t="s">
        <v>104</v>
      </c>
      <c r="C268" s="28">
        <v>30532</v>
      </c>
    </row>
    <row r="269" spans="1:3" x14ac:dyDescent="0.2">
      <c r="A269" s="17"/>
      <c r="B269" s="18" t="s">
        <v>105</v>
      </c>
      <c r="C269" s="28">
        <v>29247</v>
      </c>
    </row>
    <row r="270" spans="1:3" x14ac:dyDescent="0.2">
      <c r="A270" s="17"/>
      <c r="B270" s="18" t="s">
        <v>106</v>
      </c>
      <c r="C270" s="28">
        <v>31440</v>
      </c>
    </row>
    <row r="271" spans="1:3" x14ac:dyDescent="0.2">
      <c r="A271" s="17"/>
      <c r="B271" s="18" t="s">
        <v>107</v>
      </c>
      <c r="C271" s="28">
        <v>33774</v>
      </c>
    </row>
    <row r="272" spans="1:3" x14ac:dyDescent="0.2">
      <c r="A272" s="17"/>
      <c r="B272" s="18" t="s">
        <v>108</v>
      </c>
      <c r="C272" s="28">
        <v>17813</v>
      </c>
    </row>
    <row r="273" spans="1:3" x14ac:dyDescent="0.2">
      <c r="A273" s="17"/>
      <c r="B273" s="18" t="s">
        <v>109</v>
      </c>
      <c r="C273" s="28">
        <v>9314</v>
      </c>
    </row>
    <row r="274" spans="1:3" s="3" customFormat="1" x14ac:dyDescent="0.2">
      <c r="A274" s="24" t="s">
        <v>77</v>
      </c>
      <c r="B274" s="29"/>
      <c r="C274" s="22">
        <f>SUM(C262:C273)</f>
        <v>348101</v>
      </c>
    </row>
    <row r="275" spans="1:3" x14ac:dyDescent="0.2">
      <c r="A275" s="16" t="s">
        <v>21</v>
      </c>
      <c r="B275" s="16" t="s">
        <v>98</v>
      </c>
      <c r="C275" s="27">
        <v>10849</v>
      </c>
    </row>
    <row r="276" spans="1:3" x14ac:dyDescent="0.2">
      <c r="A276" s="17"/>
      <c r="B276" s="18" t="s">
        <v>99</v>
      </c>
      <c r="C276" s="28">
        <v>7926</v>
      </c>
    </row>
    <row r="277" spans="1:3" x14ac:dyDescent="0.2">
      <c r="A277" s="17"/>
      <c r="B277" s="18" t="s">
        <v>100</v>
      </c>
      <c r="C277" s="28">
        <v>7433</v>
      </c>
    </row>
    <row r="278" spans="1:3" x14ac:dyDescent="0.2">
      <c r="A278" s="17"/>
      <c r="B278" s="18" t="s">
        <v>101</v>
      </c>
      <c r="C278" s="28">
        <v>5505</v>
      </c>
    </row>
    <row r="279" spans="1:3" x14ac:dyDescent="0.2">
      <c r="A279" s="17"/>
      <c r="B279" s="18" t="s">
        <v>102</v>
      </c>
      <c r="C279" s="28">
        <v>7325</v>
      </c>
    </row>
    <row r="280" spans="1:3" x14ac:dyDescent="0.2">
      <c r="A280" s="17"/>
      <c r="B280" s="18" t="s">
        <v>103</v>
      </c>
      <c r="C280" s="28">
        <v>5687</v>
      </c>
    </row>
    <row r="281" spans="1:3" x14ac:dyDescent="0.2">
      <c r="A281" s="17"/>
      <c r="B281" s="18" t="s">
        <v>104</v>
      </c>
      <c r="C281" s="28">
        <v>6513</v>
      </c>
    </row>
    <row r="282" spans="1:3" x14ac:dyDescent="0.2">
      <c r="A282" s="17"/>
      <c r="B282" s="18" t="s">
        <v>105</v>
      </c>
      <c r="C282" s="28">
        <v>6020</v>
      </c>
    </row>
    <row r="283" spans="1:3" x14ac:dyDescent="0.2">
      <c r="A283" s="17"/>
      <c r="B283" s="18" t="s">
        <v>106</v>
      </c>
      <c r="C283" s="28">
        <v>6653</v>
      </c>
    </row>
    <row r="284" spans="1:3" x14ac:dyDescent="0.2">
      <c r="A284" s="17"/>
      <c r="B284" s="18" t="s">
        <v>107</v>
      </c>
      <c r="C284" s="28">
        <v>5662</v>
      </c>
    </row>
    <row r="285" spans="1:3" x14ac:dyDescent="0.2">
      <c r="A285" s="17"/>
      <c r="B285" s="18" t="s">
        <v>108</v>
      </c>
      <c r="C285" s="28">
        <v>3626</v>
      </c>
    </row>
    <row r="286" spans="1:3" x14ac:dyDescent="0.2">
      <c r="A286" s="17"/>
      <c r="B286" s="18" t="s">
        <v>109</v>
      </c>
      <c r="C286" s="28">
        <v>3749</v>
      </c>
    </row>
    <row r="287" spans="1:3" s="3" customFormat="1" x14ac:dyDescent="0.2">
      <c r="A287" s="24" t="s">
        <v>78</v>
      </c>
      <c r="B287" s="29"/>
      <c r="C287" s="22">
        <f>SUM(C275:C286)</f>
        <v>76948</v>
      </c>
    </row>
    <row r="288" spans="1:3" x14ac:dyDescent="0.2">
      <c r="A288" s="16" t="s">
        <v>22</v>
      </c>
      <c r="B288" s="16" t="s">
        <v>98</v>
      </c>
      <c r="C288" s="27">
        <v>31744</v>
      </c>
    </row>
    <row r="289" spans="1:3" x14ac:dyDescent="0.2">
      <c r="A289" s="17"/>
      <c r="B289" s="18" t="s">
        <v>99</v>
      </c>
      <c r="C289" s="28">
        <v>23899</v>
      </c>
    </row>
    <row r="290" spans="1:3" x14ac:dyDescent="0.2">
      <c r="A290" s="17"/>
      <c r="B290" s="18" t="s">
        <v>100</v>
      </c>
      <c r="C290" s="28">
        <v>33902</v>
      </c>
    </row>
    <row r="291" spans="1:3" x14ac:dyDescent="0.2">
      <c r="A291" s="17"/>
      <c r="B291" s="18" t="s">
        <v>101</v>
      </c>
      <c r="C291" s="28">
        <v>37467</v>
      </c>
    </row>
    <row r="292" spans="1:3" x14ac:dyDescent="0.2">
      <c r="A292" s="17"/>
      <c r="B292" s="18" t="s">
        <v>102</v>
      </c>
      <c r="C292" s="28">
        <v>30190</v>
      </c>
    </row>
    <row r="293" spans="1:3" x14ac:dyDescent="0.2">
      <c r="A293" s="17"/>
      <c r="B293" s="18" t="s">
        <v>103</v>
      </c>
      <c r="C293" s="28">
        <v>24021</v>
      </c>
    </row>
    <row r="294" spans="1:3" x14ac:dyDescent="0.2">
      <c r="A294" s="17"/>
      <c r="B294" s="18" t="s">
        <v>104</v>
      </c>
      <c r="C294" s="28">
        <v>15116</v>
      </c>
    </row>
    <row r="295" spans="1:3" x14ac:dyDescent="0.2">
      <c r="A295" s="17"/>
      <c r="B295" s="18" t="s">
        <v>105</v>
      </c>
      <c r="C295" s="28">
        <v>10301</v>
      </c>
    </row>
    <row r="296" spans="1:3" x14ac:dyDescent="0.2">
      <c r="A296" s="17"/>
      <c r="B296" s="18" t="s">
        <v>106</v>
      </c>
      <c r="C296" s="28">
        <v>8529</v>
      </c>
    </row>
    <row r="297" spans="1:3" x14ac:dyDescent="0.2">
      <c r="A297" s="17"/>
      <c r="B297" s="18" t="s">
        <v>107</v>
      </c>
      <c r="C297" s="28">
        <v>11817</v>
      </c>
    </row>
    <row r="298" spans="1:3" x14ac:dyDescent="0.2">
      <c r="A298" s="17"/>
      <c r="B298" s="18" t="s">
        <v>108</v>
      </c>
      <c r="C298" s="28">
        <v>8910</v>
      </c>
    </row>
    <row r="299" spans="1:3" x14ac:dyDescent="0.2">
      <c r="A299" s="17"/>
      <c r="B299" s="18" t="s">
        <v>109</v>
      </c>
      <c r="C299" s="28">
        <v>13697</v>
      </c>
    </row>
    <row r="300" spans="1:3" s="3" customFormat="1" x14ac:dyDescent="0.2">
      <c r="A300" s="24" t="s">
        <v>79</v>
      </c>
      <c r="B300" s="29"/>
      <c r="C300" s="22">
        <f>SUM(C288:C299)</f>
        <v>249593</v>
      </c>
    </row>
    <row r="301" spans="1:3" x14ac:dyDescent="0.2">
      <c r="A301" s="16" t="s">
        <v>23</v>
      </c>
      <c r="B301" s="16" t="s">
        <v>98</v>
      </c>
      <c r="C301" s="27">
        <v>31407</v>
      </c>
    </row>
    <row r="302" spans="1:3" x14ac:dyDescent="0.2">
      <c r="A302" s="17"/>
      <c r="B302" s="18" t="s">
        <v>99</v>
      </c>
      <c r="C302" s="28">
        <v>26095</v>
      </c>
    </row>
    <row r="303" spans="1:3" x14ac:dyDescent="0.2">
      <c r="A303" s="17"/>
      <c r="B303" s="18" t="s">
        <v>100</v>
      </c>
      <c r="C303" s="28">
        <v>36732</v>
      </c>
    </row>
    <row r="304" spans="1:3" x14ac:dyDescent="0.2">
      <c r="A304" s="17"/>
      <c r="B304" s="18" t="s">
        <v>101</v>
      </c>
      <c r="C304" s="28">
        <v>30453</v>
      </c>
    </row>
    <row r="305" spans="1:3" x14ac:dyDescent="0.2">
      <c r="A305" s="17"/>
      <c r="B305" s="18" t="s">
        <v>102</v>
      </c>
      <c r="C305" s="28">
        <v>24689</v>
      </c>
    </row>
    <row r="306" spans="1:3" x14ac:dyDescent="0.2">
      <c r="A306" s="17"/>
      <c r="B306" s="18" t="s">
        <v>103</v>
      </c>
      <c r="C306" s="28">
        <v>16444</v>
      </c>
    </row>
    <row r="307" spans="1:3" x14ac:dyDescent="0.2">
      <c r="A307" s="17"/>
      <c r="B307" s="18" t="s">
        <v>104</v>
      </c>
      <c r="C307" s="28">
        <v>10351</v>
      </c>
    </row>
    <row r="308" spans="1:3" x14ac:dyDescent="0.2">
      <c r="A308" s="17"/>
      <c r="B308" s="18" t="s">
        <v>105</v>
      </c>
      <c r="C308" s="28">
        <v>7820</v>
      </c>
    </row>
    <row r="309" spans="1:3" x14ac:dyDescent="0.2">
      <c r="A309" s="17"/>
      <c r="B309" s="18" t="s">
        <v>106</v>
      </c>
      <c r="C309" s="28">
        <v>9352</v>
      </c>
    </row>
    <row r="310" spans="1:3" x14ac:dyDescent="0.2">
      <c r="A310" s="17"/>
      <c r="B310" s="18" t="s">
        <v>107</v>
      </c>
      <c r="C310" s="28">
        <v>13593</v>
      </c>
    </row>
    <row r="311" spans="1:3" x14ac:dyDescent="0.2">
      <c r="A311" s="17"/>
      <c r="B311" s="18" t="s">
        <v>108</v>
      </c>
      <c r="C311" s="28">
        <v>11386</v>
      </c>
    </row>
    <row r="312" spans="1:3" x14ac:dyDescent="0.2">
      <c r="A312" s="17"/>
      <c r="B312" s="18" t="s">
        <v>109</v>
      </c>
      <c r="C312" s="28">
        <v>9938</v>
      </c>
    </row>
    <row r="313" spans="1:3" s="3" customFormat="1" x14ac:dyDescent="0.2">
      <c r="A313" s="24" t="s">
        <v>80</v>
      </c>
      <c r="B313" s="29"/>
      <c r="C313" s="22">
        <f>SUM(C301:C312)</f>
        <v>228260</v>
      </c>
    </row>
    <row r="314" spans="1:3" x14ac:dyDescent="0.2">
      <c r="A314" s="16" t="s">
        <v>24</v>
      </c>
      <c r="B314" s="16" t="s">
        <v>98</v>
      </c>
      <c r="C314" s="27">
        <v>9742</v>
      </c>
    </row>
    <row r="315" spans="1:3" x14ac:dyDescent="0.2">
      <c r="A315" s="17"/>
      <c r="B315" s="18" t="s">
        <v>99</v>
      </c>
      <c r="C315" s="28">
        <v>8415</v>
      </c>
    </row>
    <row r="316" spans="1:3" x14ac:dyDescent="0.2">
      <c r="A316" s="17"/>
      <c r="B316" s="18" t="s">
        <v>100</v>
      </c>
      <c r="C316" s="28">
        <v>9256</v>
      </c>
    </row>
    <row r="317" spans="1:3" x14ac:dyDescent="0.2">
      <c r="A317" s="17"/>
      <c r="B317" s="18" t="s">
        <v>101</v>
      </c>
      <c r="C317" s="28">
        <v>17795</v>
      </c>
    </row>
    <row r="318" spans="1:3" x14ac:dyDescent="0.2">
      <c r="A318" s="17"/>
      <c r="B318" s="18" t="s">
        <v>102</v>
      </c>
      <c r="C318" s="28">
        <v>14334</v>
      </c>
    </row>
    <row r="319" spans="1:3" x14ac:dyDescent="0.2">
      <c r="A319" s="17"/>
      <c r="B319" s="18" t="s">
        <v>103</v>
      </c>
      <c r="C319" s="28">
        <v>8682</v>
      </c>
    </row>
    <row r="320" spans="1:3" x14ac:dyDescent="0.2">
      <c r="A320" s="17"/>
      <c r="B320" s="18" t="s">
        <v>104</v>
      </c>
      <c r="C320" s="28">
        <v>8252</v>
      </c>
    </row>
    <row r="321" spans="1:3" x14ac:dyDescent="0.2">
      <c r="A321" s="17"/>
      <c r="B321" s="18" t="s">
        <v>105</v>
      </c>
      <c r="C321" s="28">
        <v>5940</v>
      </c>
    </row>
    <row r="322" spans="1:3" x14ac:dyDescent="0.2">
      <c r="A322" s="17"/>
      <c r="B322" s="18" t="s">
        <v>106</v>
      </c>
      <c r="C322" s="28">
        <v>5679</v>
      </c>
    </row>
    <row r="323" spans="1:3" x14ac:dyDescent="0.2">
      <c r="A323" s="17"/>
      <c r="B323" s="18" t="s">
        <v>107</v>
      </c>
      <c r="C323" s="28">
        <v>5267</v>
      </c>
    </row>
    <row r="324" spans="1:3" x14ac:dyDescent="0.2">
      <c r="A324" s="17"/>
      <c r="B324" s="18" t="s">
        <v>108</v>
      </c>
      <c r="C324" s="28">
        <v>4009</v>
      </c>
    </row>
    <row r="325" spans="1:3" x14ac:dyDescent="0.2">
      <c r="A325" s="17"/>
      <c r="B325" s="18" t="s">
        <v>109</v>
      </c>
      <c r="C325" s="28">
        <v>3666</v>
      </c>
    </row>
    <row r="326" spans="1:3" s="3" customFormat="1" x14ac:dyDescent="0.2">
      <c r="A326" s="24" t="s">
        <v>81</v>
      </c>
      <c r="B326" s="29"/>
      <c r="C326" s="22">
        <f>SUM(C314:C325)</f>
        <v>101037</v>
      </c>
    </row>
    <row r="327" spans="1:3" x14ac:dyDescent="0.2">
      <c r="A327" s="16" t="s">
        <v>25</v>
      </c>
      <c r="B327" s="16" t="s">
        <v>98</v>
      </c>
      <c r="C327" s="27">
        <v>14775</v>
      </c>
    </row>
    <row r="328" spans="1:3" x14ac:dyDescent="0.2">
      <c r="A328" s="17"/>
      <c r="B328" s="18" t="s">
        <v>99</v>
      </c>
      <c r="C328" s="28">
        <v>12646</v>
      </c>
    </row>
    <row r="329" spans="1:3" x14ac:dyDescent="0.2">
      <c r="A329" s="17"/>
      <c r="B329" s="18" t="s">
        <v>100</v>
      </c>
      <c r="C329" s="28">
        <v>15000</v>
      </c>
    </row>
    <row r="330" spans="1:3" x14ac:dyDescent="0.2">
      <c r="A330" s="17"/>
      <c r="B330" s="18" t="s">
        <v>101</v>
      </c>
      <c r="C330" s="28">
        <v>19291</v>
      </c>
    </row>
    <row r="331" spans="1:3" x14ac:dyDescent="0.2">
      <c r="A331" s="17"/>
      <c r="B331" s="18" t="s">
        <v>102</v>
      </c>
      <c r="C331" s="28">
        <v>18622</v>
      </c>
    </row>
    <row r="332" spans="1:3" x14ac:dyDescent="0.2">
      <c r="A332" s="17"/>
      <c r="B332" s="18" t="s">
        <v>103</v>
      </c>
      <c r="C332" s="28">
        <v>6492</v>
      </c>
    </row>
    <row r="333" spans="1:3" x14ac:dyDescent="0.2">
      <c r="A333" s="17"/>
      <c r="B333" s="18" t="s">
        <v>104</v>
      </c>
      <c r="C333" s="28">
        <v>6796</v>
      </c>
    </row>
    <row r="334" spans="1:3" x14ac:dyDescent="0.2">
      <c r="A334" s="17"/>
      <c r="B334" s="18" t="s">
        <v>105</v>
      </c>
      <c r="C334" s="28">
        <v>3871</v>
      </c>
    </row>
    <row r="335" spans="1:3" x14ac:dyDescent="0.2">
      <c r="A335" s="17"/>
      <c r="B335" s="18" t="s">
        <v>106</v>
      </c>
      <c r="C335" s="28">
        <v>2860</v>
      </c>
    </row>
    <row r="336" spans="1:3" x14ac:dyDescent="0.2">
      <c r="A336" s="17"/>
      <c r="B336" s="18" t="s">
        <v>107</v>
      </c>
      <c r="C336" s="28">
        <v>3355</v>
      </c>
    </row>
    <row r="337" spans="1:3" x14ac:dyDescent="0.2">
      <c r="A337" s="17"/>
      <c r="B337" s="18" t="s">
        <v>108</v>
      </c>
      <c r="C337" s="28">
        <v>3525</v>
      </c>
    </row>
    <row r="338" spans="1:3" x14ac:dyDescent="0.2">
      <c r="A338" s="17"/>
      <c r="B338" s="18" t="s">
        <v>109</v>
      </c>
      <c r="C338" s="28">
        <v>5766</v>
      </c>
    </row>
    <row r="339" spans="1:3" s="3" customFormat="1" x14ac:dyDescent="0.2">
      <c r="A339" s="24" t="s">
        <v>82</v>
      </c>
      <c r="B339" s="29"/>
      <c r="C339" s="22">
        <f>SUM(C327:C338)</f>
        <v>112999</v>
      </c>
    </row>
    <row r="340" spans="1:3" x14ac:dyDescent="0.2">
      <c r="A340" s="16" t="s">
        <v>26</v>
      </c>
      <c r="B340" s="16" t="s">
        <v>98</v>
      </c>
      <c r="C340" s="27">
        <v>34806</v>
      </c>
    </row>
    <row r="341" spans="1:3" x14ac:dyDescent="0.2">
      <c r="A341" s="17"/>
      <c r="B341" s="18" t="s">
        <v>99</v>
      </c>
      <c r="C341" s="28">
        <v>28186</v>
      </c>
    </row>
    <row r="342" spans="1:3" x14ac:dyDescent="0.2">
      <c r="A342" s="17"/>
      <c r="B342" s="18" t="s">
        <v>100</v>
      </c>
      <c r="C342" s="28">
        <v>36173</v>
      </c>
    </row>
    <row r="343" spans="1:3" x14ac:dyDescent="0.2">
      <c r="A343" s="17"/>
      <c r="B343" s="18" t="s">
        <v>101</v>
      </c>
      <c r="C343" s="28">
        <v>38346</v>
      </c>
    </row>
    <row r="344" spans="1:3" x14ac:dyDescent="0.2">
      <c r="A344" s="17"/>
      <c r="B344" s="18" t="s">
        <v>102</v>
      </c>
      <c r="C344" s="28">
        <v>39178</v>
      </c>
    </row>
    <row r="345" spans="1:3" x14ac:dyDescent="0.2">
      <c r="A345" s="17"/>
      <c r="B345" s="18" t="s">
        <v>103</v>
      </c>
      <c r="C345" s="28">
        <v>17005</v>
      </c>
    </row>
    <row r="346" spans="1:3" x14ac:dyDescent="0.2">
      <c r="A346" s="17"/>
      <c r="B346" s="18" t="s">
        <v>104</v>
      </c>
      <c r="C346" s="28">
        <v>21029</v>
      </c>
    </row>
    <row r="347" spans="1:3" x14ac:dyDescent="0.2">
      <c r="A347" s="17"/>
      <c r="B347" s="18" t="s">
        <v>105</v>
      </c>
      <c r="C347" s="28">
        <v>20505</v>
      </c>
    </row>
    <row r="348" spans="1:3" x14ac:dyDescent="0.2">
      <c r="A348" s="17"/>
      <c r="B348" s="18" t="s">
        <v>106</v>
      </c>
      <c r="C348" s="28">
        <v>23543</v>
      </c>
    </row>
    <row r="349" spans="1:3" x14ac:dyDescent="0.2">
      <c r="A349" s="17"/>
      <c r="B349" s="18" t="s">
        <v>107</v>
      </c>
      <c r="C349" s="28">
        <v>23760</v>
      </c>
    </row>
    <row r="350" spans="1:3" x14ac:dyDescent="0.2">
      <c r="A350" s="17"/>
      <c r="B350" s="18" t="s">
        <v>108</v>
      </c>
      <c r="C350" s="28">
        <v>13852</v>
      </c>
    </row>
    <row r="351" spans="1:3" x14ac:dyDescent="0.2">
      <c r="A351" s="17"/>
      <c r="B351" s="18" t="s">
        <v>109</v>
      </c>
      <c r="C351" s="28">
        <v>10507</v>
      </c>
    </row>
    <row r="352" spans="1:3" s="3" customFormat="1" x14ac:dyDescent="0.2">
      <c r="A352" s="24" t="s">
        <v>83</v>
      </c>
      <c r="B352" s="29"/>
      <c r="C352" s="22">
        <f>SUM(C340:C351)</f>
        <v>306890</v>
      </c>
    </row>
    <row r="353" spans="1:3" x14ac:dyDescent="0.2">
      <c r="A353" s="16" t="s">
        <v>27</v>
      </c>
      <c r="B353" s="16" t="s">
        <v>98</v>
      </c>
      <c r="C353" s="27">
        <v>22804</v>
      </c>
    </row>
    <row r="354" spans="1:3" x14ac:dyDescent="0.2">
      <c r="A354" s="17"/>
      <c r="B354" s="18" t="s">
        <v>99</v>
      </c>
      <c r="C354" s="28">
        <v>15458</v>
      </c>
    </row>
    <row r="355" spans="1:3" x14ac:dyDescent="0.2">
      <c r="A355" s="17"/>
      <c r="B355" s="18" t="s">
        <v>100</v>
      </c>
      <c r="C355" s="28">
        <v>16128</v>
      </c>
    </row>
    <row r="356" spans="1:3" x14ac:dyDescent="0.2">
      <c r="A356" s="17"/>
      <c r="B356" s="18" t="s">
        <v>101</v>
      </c>
      <c r="C356" s="28">
        <v>14882</v>
      </c>
    </row>
    <row r="357" spans="1:3" x14ac:dyDescent="0.2">
      <c r="A357" s="17"/>
      <c r="B357" s="18" t="s">
        <v>102</v>
      </c>
      <c r="C357" s="28">
        <v>13906</v>
      </c>
    </row>
    <row r="358" spans="1:3" x14ac:dyDescent="0.2">
      <c r="A358" s="17"/>
      <c r="B358" s="18" t="s">
        <v>103</v>
      </c>
      <c r="C358" s="28">
        <v>8472</v>
      </c>
    </row>
    <row r="359" spans="1:3" x14ac:dyDescent="0.2">
      <c r="A359" s="17"/>
      <c r="B359" s="18" t="s">
        <v>104</v>
      </c>
      <c r="C359" s="28">
        <v>5783</v>
      </c>
    </row>
    <row r="360" spans="1:3" x14ac:dyDescent="0.2">
      <c r="A360" s="17"/>
      <c r="B360" s="18" t="s">
        <v>105</v>
      </c>
      <c r="C360" s="28">
        <v>5121</v>
      </c>
    </row>
    <row r="361" spans="1:3" x14ac:dyDescent="0.2">
      <c r="A361" s="17"/>
      <c r="B361" s="18" t="s">
        <v>106</v>
      </c>
      <c r="C361" s="28">
        <v>5068</v>
      </c>
    </row>
    <row r="362" spans="1:3" x14ac:dyDescent="0.2">
      <c r="A362" s="17"/>
      <c r="B362" s="18" t="s">
        <v>107</v>
      </c>
      <c r="C362" s="28">
        <v>5121</v>
      </c>
    </row>
    <row r="363" spans="1:3" x14ac:dyDescent="0.2">
      <c r="A363" s="17"/>
      <c r="B363" s="18" t="s">
        <v>108</v>
      </c>
      <c r="C363" s="28">
        <v>4638</v>
      </c>
    </row>
    <row r="364" spans="1:3" x14ac:dyDescent="0.2">
      <c r="A364" s="17"/>
      <c r="B364" s="18" t="s">
        <v>109</v>
      </c>
      <c r="C364" s="28">
        <v>8647</v>
      </c>
    </row>
    <row r="365" spans="1:3" s="3" customFormat="1" x14ac:dyDescent="0.2">
      <c r="A365" s="24" t="s">
        <v>84</v>
      </c>
      <c r="B365" s="29"/>
      <c r="C365" s="22">
        <f>SUM(C353:C364)</f>
        <v>126028</v>
      </c>
    </row>
    <row r="366" spans="1:3" x14ac:dyDescent="0.2">
      <c r="A366" s="16" t="s">
        <v>28</v>
      </c>
      <c r="B366" s="16" t="s">
        <v>98</v>
      </c>
      <c r="C366" s="27">
        <v>35484</v>
      </c>
    </row>
    <row r="367" spans="1:3" x14ac:dyDescent="0.2">
      <c r="A367" s="17"/>
      <c r="B367" s="18" t="s">
        <v>99</v>
      </c>
      <c r="C367" s="28">
        <v>33783</v>
      </c>
    </row>
    <row r="368" spans="1:3" x14ac:dyDescent="0.2">
      <c r="A368" s="17"/>
      <c r="B368" s="18" t="s">
        <v>100</v>
      </c>
      <c r="C368" s="28">
        <v>36480</v>
      </c>
    </row>
    <row r="369" spans="1:3" x14ac:dyDescent="0.2">
      <c r="A369" s="17"/>
      <c r="B369" s="18" t="s">
        <v>101</v>
      </c>
      <c r="C369" s="28">
        <v>48607</v>
      </c>
    </row>
    <row r="370" spans="1:3" x14ac:dyDescent="0.2">
      <c r="A370" s="17"/>
      <c r="B370" s="18" t="s">
        <v>102</v>
      </c>
      <c r="C370" s="28">
        <v>42740</v>
      </c>
    </row>
    <row r="371" spans="1:3" x14ac:dyDescent="0.2">
      <c r="A371" s="17"/>
      <c r="B371" s="18" t="s">
        <v>103</v>
      </c>
      <c r="C371" s="28">
        <v>22921</v>
      </c>
    </row>
    <row r="372" spans="1:3" x14ac:dyDescent="0.2">
      <c r="A372" s="17"/>
      <c r="B372" s="18" t="s">
        <v>104</v>
      </c>
      <c r="C372" s="28">
        <v>16234</v>
      </c>
    </row>
    <row r="373" spans="1:3" x14ac:dyDescent="0.2">
      <c r="A373" s="17"/>
      <c r="B373" s="18" t="s">
        <v>105</v>
      </c>
      <c r="C373" s="28">
        <v>14004</v>
      </c>
    </row>
    <row r="374" spans="1:3" x14ac:dyDescent="0.2">
      <c r="A374" s="17"/>
      <c r="B374" s="18" t="s">
        <v>106</v>
      </c>
      <c r="C374" s="28">
        <v>17162</v>
      </c>
    </row>
    <row r="375" spans="1:3" x14ac:dyDescent="0.2">
      <c r="A375" s="17"/>
      <c r="B375" s="18" t="s">
        <v>107</v>
      </c>
      <c r="C375" s="28">
        <v>17991</v>
      </c>
    </row>
    <row r="376" spans="1:3" x14ac:dyDescent="0.2">
      <c r="A376" s="17"/>
      <c r="B376" s="18" t="s">
        <v>108</v>
      </c>
      <c r="C376" s="28">
        <v>13941</v>
      </c>
    </row>
    <row r="377" spans="1:3" x14ac:dyDescent="0.2">
      <c r="A377" s="17"/>
      <c r="B377" s="18" t="s">
        <v>109</v>
      </c>
      <c r="C377" s="28">
        <v>14591</v>
      </c>
    </row>
    <row r="378" spans="1:3" s="3" customFormat="1" x14ac:dyDescent="0.2">
      <c r="A378" s="24" t="s">
        <v>85</v>
      </c>
      <c r="B378" s="29"/>
      <c r="C378" s="22">
        <f>SUM(C366:C377)</f>
        <v>313938</v>
      </c>
    </row>
    <row r="379" spans="1:3" s="3" customFormat="1" x14ac:dyDescent="0.2">
      <c r="A379" s="24" t="s">
        <v>122</v>
      </c>
      <c r="B379" s="24" t="s">
        <v>44</v>
      </c>
      <c r="C379" s="23">
        <f>SUM(C14,C27,C40,C53,C66,C79,C92,C105,C118,C131,C144,C157,C170,C183,C196,C209,C222,C235,C248,C261,C274,C287,C300,C313,C326,C339,C352,C365,C378)</f>
        <v>6910943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9"/>
  <sheetViews>
    <sheetView workbookViewId="0">
      <selection activeCell="D1" sqref="D1:E1048576"/>
    </sheetView>
  </sheetViews>
  <sheetFormatPr baseColWidth="10" defaultColWidth="8.83203125" defaultRowHeight="15" x14ac:dyDescent="0.2"/>
  <cols>
    <col min="1" max="1" width="19.83203125" customWidth="1"/>
    <col min="2" max="2" width="20.83203125" customWidth="1"/>
    <col min="3" max="3" width="17.5" customWidth="1"/>
  </cols>
  <sheetData>
    <row r="1" spans="1:3" s="26" customFormat="1" ht="16" x14ac:dyDescent="0.2">
      <c r="A1" s="25" t="s">
        <v>30</v>
      </c>
      <c r="B1" s="25" t="s">
        <v>43</v>
      </c>
      <c r="C1" s="25" t="s">
        <v>123</v>
      </c>
    </row>
    <row r="2" spans="1:3" x14ac:dyDescent="0.2">
      <c r="A2" s="16" t="s">
        <v>0</v>
      </c>
      <c r="B2" s="16" t="s">
        <v>110</v>
      </c>
      <c r="C2" s="27">
        <v>45008</v>
      </c>
    </row>
    <row r="3" spans="1:3" x14ac:dyDescent="0.2">
      <c r="A3" s="17"/>
      <c r="B3" s="18" t="s">
        <v>111</v>
      </c>
      <c r="C3" s="28">
        <v>24703</v>
      </c>
    </row>
    <row r="4" spans="1:3" x14ac:dyDescent="0.2">
      <c r="A4" s="17"/>
      <c r="B4" s="18" t="s">
        <v>112</v>
      </c>
      <c r="C4" s="28">
        <v>27890</v>
      </c>
    </row>
    <row r="5" spans="1:3" x14ac:dyDescent="0.2">
      <c r="A5" s="17"/>
      <c r="B5" s="18" t="s">
        <v>113</v>
      </c>
      <c r="C5" s="28">
        <v>27714</v>
      </c>
    </row>
    <row r="6" spans="1:3" x14ac:dyDescent="0.2">
      <c r="A6" s="17"/>
      <c r="B6" s="18" t="s">
        <v>114</v>
      </c>
      <c r="C6" s="28">
        <v>28894</v>
      </c>
    </row>
    <row r="7" spans="1:3" x14ac:dyDescent="0.2">
      <c r="A7" s="17"/>
      <c r="B7" s="18" t="s">
        <v>115</v>
      </c>
      <c r="C7" s="28">
        <v>15327</v>
      </c>
    </row>
    <row r="8" spans="1:3" x14ac:dyDescent="0.2">
      <c r="A8" s="17"/>
      <c r="B8" s="18" t="s">
        <v>116</v>
      </c>
      <c r="C8" s="28">
        <v>12377</v>
      </c>
    </row>
    <row r="9" spans="1:3" x14ac:dyDescent="0.2">
      <c r="A9" s="17"/>
      <c r="B9" s="18" t="s">
        <v>117</v>
      </c>
      <c r="C9" s="28">
        <v>10254</v>
      </c>
    </row>
    <row r="10" spans="1:3" x14ac:dyDescent="0.2">
      <c r="A10" s="17"/>
      <c r="B10" s="18" t="s">
        <v>118</v>
      </c>
      <c r="C10" s="28">
        <v>9395</v>
      </c>
    </row>
    <row r="11" spans="1:3" x14ac:dyDescent="0.2">
      <c r="A11" s="17"/>
      <c r="B11" s="18" t="s">
        <v>119</v>
      </c>
      <c r="C11" s="28">
        <v>9699</v>
      </c>
    </row>
    <row r="12" spans="1:3" x14ac:dyDescent="0.2">
      <c r="A12" s="17"/>
      <c r="B12" s="18" t="s">
        <v>120</v>
      </c>
      <c r="C12" s="28">
        <v>7442</v>
      </c>
    </row>
    <row r="13" spans="1:3" x14ac:dyDescent="0.2">
      <c r="A13" s="17"/>
      <c r="B13" s="18" t="s">
        <v>121</v>
      </c>
      <c r="C13" s="28">
        <v>11730</v>
      </c>
    </row>
    <row r="14" spans="1:3" s="3" customFormat="1" x14ac:dyDescent="0.2">
      <c r="A14" s="24" t="s">
        <v>57</v>
      </c>
      <c r="B14" s="29"/>
      <c r="C14" s="22">
        <f>SUM(C2:C13)</f>
        <v>230433</v>
      </c>
    </row>
    <row r="15" spans="1:3" x14ac:dyDescent="0.2">
      <c r="A15" s="16" t="s">
        <v>1</v>
      </c>
      <c r="B15" s="16" t="s">
        <v>110</v>
      </c>
      <c r="C15" s="27">
        <v>21258</v>
      </c>
    </row>
    <row r="16" spans="1:3" x14ac:dyDescent="0.2">
      <c r="A16" s="17"/>
      <c r="B16" s="18" t="s">
        <v>111</v>
      </c>
      <c r="C16" s="28">
        <v>17952</v>
      </c>
    </row>
    <row r="17" spans="1:3" x14ac:dyDescent="0.2">
      <c r="A17" s="17"/>
      <c r="B17" s="18" t="s">
        <v>112</v>
      </c>
      <c r="C17" s="28">
        <v>39529</v>
      </c>
    </row>
    <row r="18" spans="1:3" x14ac:dyDescent="0.2">
      <c r="A18" s="17"/>
      <c r="B18" s="18" t="s">
        <v>113</v>
      </c>
      <c r="C18" s="28">
        <v>35322</v>
      </c>
    </row>
    <row r="19" spans="1:3" x14ac:dyDescent="0.2">
      <c r="A19" s="17"/>
      <c r="B19" s="18" t="s">
        <v>114</v>
      </c>
      <c r="C19" s="28">
        <v>34002</v>
      </c>
    </row>
    <row r="20" spans="1:3" x14ac:dyDescent="0.2">
      <c r="A20" s="17"/>
      <c r="B20" s="18" t="s">
        <v>115</v>
      </c>
      <c r="C20" s="28">
        <v>21458</v>
      </c>
    </row>
    <row r="21" spans="1:3" x14ac:dyDescent="0.2">
      <c r="A21" s="17"/>
      <c r="B21" s="18" t="s">
        <v>116</v>
      </c>
      <c r="C21" s="28">
        <v>16736</v>
      </c>
    </row>
    <row r="22" spans="1:3" x14ac:dyDescent="0.2">
      <c r="A22" s="17"/>
      <c r="B22" s="18" t="s">
        <v>117</v>
      </c>
      <c r="C22" s="28">
        <v>20107</v>
      </c>
    </row>
    <row r="23" spans="1:3" x14ac:dyDescent="0.2">
      <c r="A23" s="17"/>
      <c r="B23" s="18" t="s">
        <v>118</v>
      </c>
      <c r="C23" s="28">
        <v>18288</v>
      </c>
    </row>
    <row r="24" spans="1:3" x14ac:dyDescent="0.2">
      <c r="A24" s="17"/>
      <c r="B24" s="18" t="s">
        <v>119</v>
      </c>
      <c r="C24" s="28">
        <v>15752</v>
      </c>
    </row>
    <row r="25" spans="1:3" x14ac:dyDescent="0.2">
      <c r="A25" s="17"/>
      <c r="B25" s="18" t="s">
        <v>120</v>
      </c>
      <c r="C25" s="28">
        <v>17617</v>
      </c>
    </row>
    <row r="26" spans="1:3" x14ac:dyDescent="0.2">
      <c r="A26" s="17"/>
      <c r="B26" s="18" t="s">
        <v>121</v>
      </c>
      <c r="C26" s="28">
        <v>12120</v>
      </c>
    </row>
    <row r="27" spans="1:3" s="3" customFormat="1" x14ac:dyDescent="0.2">
      <c r="A27" s="24" t="s">
        <v>58</v>
      </c>
      <c r="B27" s="29"/>
      <c r="C27" s="22">
        <f>SUM(C15:C26)</f>
        <v>270141</v>
      </c>
    </row>
    <row r="28" spans="1:3" x14ac:dyDescent="0.2">
      <c r="A28" s="16" t="s">
        <v>2</v>
      </c>
      <c r="B28" s="16" t="s">
        <v>110</v>
      </c>
      <c r="C28" s="27">
        <v>13915</v>
      </c>
    </row>
    <row r="29" spans="1:3" x14ac:dyDescent="0.2">
      <c r="A29" s="17"/>
      <c r="B29" s="18" t="s">
        <v>111</v>
      </c>
      <c r="C29" s="28">
        <v>26268</v>
      </c>
    </row>
    <row r="30" spans="1:3" x14ac:dyDescent="0.2">
      <c r="A30" s="17"/>
      <c r="B30" s="18" t="s">
        <v>112</v>
      </c>
      <c r="C30" s="28">
        <v>26318</v>
      </c>
    </row>
    <row r="31" spans="1:3" x14ac:dyDescent="0.2">
      <c r="A31" s="17"/>
      <c r="B31" s="18" t="s">
        <v>113</v>
      </c>
      <c r="C31" s="28">
        <v>29461</v>
      </c>
    </row>
    <row r="32" spans="1:3" x14ac:dyDescent="0.2">
      <c r="A32" s="17"/>
      <c r="B32" s="18" t="s">
        <v>114</v>
      </c>
      <c r="C32" s="28">
        <v>38302</v>
      </c>
    </row>
    <row r="33" spans="1:3" x14ac:dyDescent="0.2">
      <c r="A33" s="17"/>
      <c r="B33" s="18" t="s">
        <v>115</v>
      </c>
      <c r="C33" s="28">
        <v>23590</v>
      </c>
    </row>
    <row r="34" spans="1:3" x14ac:dyDescent="0.2">
      <c r="A34" s="17"/>
      <c r="B34" s="18" t="s">
        <v>116</v>
      </c>
      <c r="C34" s="28">
        <v>21117</v>
      </c>
    </row>
    <row r="35" spans="1:3" x14ac:dyDescent="0.2">
      <c r="A35" s="17"/>
      <c r="B35" s="18" t="s">
        <v>117</v>
      </c>
      <c r="C35" s="28">
        <v>18294</v>
      </c>
    </row>
    <row r="36" spans="1:3" x14ac:dyDescent="0.2">
      <c r="A36" s="17"/>
      <c r="B36" s="18" t="s">
        <v>118</v>
      </c>
      <c r="C36" s="28">
        <v>20543</v>
      </c>
    </row>
    <row r="37" spans="1:3" x14ac:dyDescent="0.2">
      <c r="A37" s="17"/>
      <c r="B37" s="18" t="s">
        <v>119</v>
      </c>
      <c r="C37" s="28">
        <v>16829</v>
      </c>
    </row>
    <row r="38" spans="1:3" x14ac:dyDescent="0.2">
      <c r="A38" s="17"/>
      <c r="B38" s="18" t="s">
        <v>120</v>
      </c>
      <c r="C38" s="28">
        <v>7193</v>
      </c>
    </row>
    <row r="39" spans="1:3" x14ac:dyDescent="0.2">
      <c r="A39" s="17"/>
      <c r="B39" s="18" t="s">
        <v>121</v>
      </c>
      <c r="C39" s="28">
        <v>6245</v>
      </c>
    </row>
    <row r="40" spans="1:3" s="3" customFormat="1" x14ac:dyDescent="0.2">
      <c r="A40" s="24" t="s">
        <v>59</v>
      </c>
      <c r="B40" s="29"/>
      <c r="C40" s="22">
        <f>SUM(C28:C39)</f>
        <v>248075</v>
      </c>
    </row>
    <row r="41" spans="1:3" x14ac:dyDescent="0.2">
      <c r="A41" s="16" t="s">
        <v>3</v>
      </c>
      <c r="B41" s="16" t="s">
        <v>110</v>
      </c>
      <c r="C41" s="27">
        <v>5251</v>
      </c>
    </row>
    <row r="42" spans="1:3" x14ac:dyDescent="0.2">
      <c r="A42" s="17"/>
      <c r="B42" s="18" t="s">
        <v>111</v>
      </c>
      <c r="C42" s="28">
        <v>6304</v>
      </c>
    </row>
    <row r="43" spans="1:3" x14ac:dyDescent="0.2">
      <c r="A43" s="17"/>
      <c r="B43" s="18" t="s">
        <v>112</v>
      </c>
      <c r="C43" s="28">
        <v>9555</v>
      </c>
    </row>
    <row r="44" spans="1:3" x14ac:dyDescent="0.2">
      <c r="A44" s="17"/>
      <c r="B44" s="18" t="s">
        <v>113</v>
      </c>
      <c r="C44" s="28">
        <v>10193</v>
      </c>
    </row>
    <row r="45" spans="1:3" x14ac:dyDescent="0.2">
      <c r="A45" s="17"/>
      <c r="B45" s="18" t="s">
        <v>114</v>
      </c>
      <c r="C45" s="28">
        <v>14566</v>
      </c>
    </row>
    <row r="46" spans="1:3" x14ac:dyDescent="0.2">
      <c r="A46" s="17"/>
      <c r="B46" s="18" t="s">
        <v>115</v>
      </c>
      <c r="C46" s="28">
        <v>5137</v>
      </c>
    </row>
    <row r="47" spans="1:3" x14ac:dyDescent="0.2">
      <c r="A47" s="17"/>
      <c r="B47" s="18" t="s">
        <v>116</v>
      </c>
      <c r="C47" s="28">
        <v>2016</v>
      </c>
    </row>
    <row r="48" spans="1:3" x14ac:dyDescent="0.2">
      <c r="A48" s="17"/>
      <c r="B48" s="18" t="s">
        <v>117</v>
      </c>
      <c r="C48" s="28">
        <v>1008</v>
      </c>
    </row>
    <row r="49" spans="1:3" x14ac:dyDescent="0.2">
      <c r="A49" s="17"/>
      <c r="B49" s="18" t="s">
        <v>118</v>
      </c>
      <c r="C49" s="28">
        <v>980</v>
      </c>
    </row>
    <row r="50" spans="1:3" x14ac:dyDescent="0.2">
      <c r="A50" s="17"/>
      <c r="B50" s="18" t="s">
        <v>119</v>
      </c>
      <c r="C50" s="28">
        <v>998</v>
      </c>
    </row>
    <row r="51" spans="1:3" x14ac:dyDescent="0.2">
      <c r="A51" s="17"/>
      <c r="B51" s="18" t="s">
        <v>120</v>
      </c>
      <c r="C51" s="28">
        <v>1111</v>
      </c>
    </row>
    <row r="52" spans="1:3" x14ac:dyDescent="0.2">
      <c r="A52" s="17"/>
      <c r="B52" s="18" t="s">
        <v>121</v>
      </c>
      <c r="C52" s="28">
        <v>1721</v>
      </c>
    </row>
    <row r="53" spans="1:3" s="3" customFormat="1" x14ac:dyDescent="0.2">
      <c r="A53" s="24" t="s">
        <v>60</v>
      </c>
      <c r="B53" s="29"/>
      <c r="C53" s="22">
        <f>SUM(C41:C52)</f>
        <v>58840</v>
      </c>
    </row>
    <row r="54" spans="1:3" x14ac:dyDescent="0.2">
      <c r="A54" s="16" t="s">
        <v>4</v>
      </c>
      <c r="B54" s="16" t="s">
        <v>110</v>
      </c>
      <c r="C54" s="27">
        <v>7427</v>
      </c>
    </row>
    <row r="55" spans="1:3" x14ac:dyDescent="0.2">
      <c r="A55" s="17"/>
      <c r="B55" s="18" t="s">
        <v>111</v>
      </c>
      <c r="C55" s="28">
        <v>5098</v>
      </c>
    </row>
    <row r="56" spans="1:3" x14ac:dyDescent="0.2">
      <c r="A56" s="17"/>
      <c r="B56" s="18" t="s">
        <v>112</v>
      </c>
      <c r="C56" s="28">
        <v>4470</v>
      </c>
    </row>
    <row r="57" spans="1:3" x14ac:dyDescent="0.2">
      <c r="A57" s="17"/>
      <c r="B57" s="18" t="s">
        <v>113</v>
      </c>
      <c r="C57" s="28">
        <v>5746</v>
      </c>
    </row>
    <row r="58" spans="1:3" x14ac:dyDescent="0.2">
      <c r="A58" s="17"/>
      <c r="B58" s="18" t="s">
        <v>114</v>
      </c>
      <c r="C58" s="28">
        <v>7825</v>
      </c>
    </row>
    <row r="59" spans="1:3" x14ac:dyDescent="0.2">
      <c r="A59" s="17"/>
      <c r="B59" s="18" t="s">
        <v>115</v>
      </c>
      <c r="C59" s="28">
        <v>3539</v>
      </c>
    </row>
    <row r="60" spans="1:3" x14ac:dyDescent="0.2">
      <c r="A60" s="17"/>
      <c r="B60" s="18" t="s">
        <v>116</v>
      </c>
      <c r="C60" s="28">
        <v>2453</v>
      </c>
    </row>
    <row r="61" spans="1:3" x14ac:dyDescent="0.2">
      <c r="A61" s="17"/>
      <c r="B61" s="18" t="s">
        <v>117</v>
      </c>
      <c r="C61" s="28">
        <v>1449</v>
      </c>
    </row>
    <row r="62" spans="1:3" x14ac:dyDescent="0.2">
      <c r="A62" s="17"/>
      <c r="B62" s="18" t="s">
        <v>118</v>
      </c>
      <c r="C62" s="28">
        <v>1149</v>
      </c>
    </row>
    <row r="63" spans="1:3" x14ac:dyDescent="0.2">
      <c r="A63" s="17"/>
      <c r="B63" s="18" t="s">
        <v>119</v>
      </c>
      <c r="C63" s="28">
        <v>1190</v>
      </c>
    </row>
    <row r="64" spans="1:3" x14ac:dyDescent="0.2">
      <c r="A64" s="17"/>
      <c r="B64" s="18" t="s">
        <v>120</v>
      </c>
      <c r="C64" s="28">
        <v>878</v>
      </c>
    </row>
    <row r="65" spans="1:3" x14ac:dyDescent="0.2">
      <c r="A65" s="17"/>
      <c r="B65" s="18" t="s">
        <v>121</v>
      </c>
      <c r="C65" s="28">
        <v>1730</v>
      </c>
    </row>
    <row r="66" spans="1:3" s="3" customFormat="1" x14ac:dyDescent="0.2">
      <c r="A66" s="24" t="s">
        <v>61</v>
      </c>
      <c r="B66" s="29"/>
      <c r="C66" s="22">
        <f>SUM(C54:C65)</f>
        <v>42954</v>
      </c>
    </row>
    <row r="67" spans="1:3" x14ac:dyDescent="0.2">
      <c r="A67" s="16" t="s">
        <v>5</v>
      </c>
      <c r="B67" s="16" t="s">
        <v>110</v>
      </c>
      <c r="C67" s="27">
        <v>37944</v>
      </c>
    </row>
    <row r="68" spans="1:3" x14ac:dyDescent="0.2">
      <c r="A68" s="17"/>
      <c r="B68" s="18" t="s">
        <v>111</v>
      </c>
      <c r="C68" s="28">
        <v>32096</v>
      </c>
    </row>
    <row r="69" spans="1:3" x14ac:dyDescent="0.2">
      <c r="A69" s="17"/>
      <c r="B69" s="18" t="s">
        <v>112</v>
      </c>
      <c r="C69" s="28">
        <v>33009</v>
      </c>
    </row>
    <row r="70" spans="1:3" x14ac:dyDescent="0.2">
      <c r="A70" s="17"/>
      <c r="B70" s="18" t="s">
        <v>113</v>
      </c>
      <c r="C70" s="28">
        <v>26042</v>
      </c>
    </row>
    <row r="71" spans="1:3" x14ac:dyDescent="0.2">
      <c r="A71" s="17"/>
      <c r="B71" s="18" t="s">
        <v>114</v>
      </c>
      <c r="C71" s="28">
        <v>21970</v>
      </c>
    </row>
    <row r="72" spans="1:3" x14ac:dyDescent="0.2">
      <c r="A72" s="17"/>
      <c r="B72" s="18" t="s">
        <v>115</v>
      </c>
      <c r="C72" s="28">
        <v>12788</v>
      </c>
    </row>
    <row r="73" spans="1:3" x14ac:dyDescent="0.2">
      <c r="A73" s="17"/>
      <c r="B73" s="18" t="s">
        <v>116</v>
      </c>
      <c r="C73" s="28">
        <v>8249</v>
      </c>
    </row>
    <row r="74" spans="1:3" x14ac:dyDescent="0.2">
      <c r="A74" s="17"/>
      <c r="B74" s="18" t="s">
        <v>117</v>
      </c>
      <c r="C74" s="28">
        <v>6763</v>
      </c>
    </row>
    <row r="75" spans="1:3" x14ac:dyDescent="0.2">
      <c r="A75" s="17"/>
      <c r="B75" s="18" t="s">
        <v>118</v>
      </c>
      <c r="C75" s="28">
        <v>7555</v>
      </c>
    </row>
    <row r="76" spans="1:3" x14ac:dyDescent="0.2">
      <c r="A76" s="17"/>
      <c r="B76" s="18" t="s">
        <v>119</v>
      </c>
      <c r="C76" s="28">
        <v>11326</v>
      </c>
    </row>
    <row r="77" spans="1:3" x14ac:dyDescent="0.2">
      <c r="A77" s="17"/>
      <c r="B77" s="18" t="s">
        <v>120</v>
      </c>
      <c r="C77" s="28">
        <v>11212</v>
      </c>
    </row>
    <row r="78" spans="1:3" x14ac:dyDescent="0.2">
      <c r="A78" s="17"/>
      <c r="B78" s="18" t="s">
        <v>121</v>
      </c>
      <c r="C78" s="28">
        <v>20070</v>
      </c>
    </row>
    <row r="79" spans="1:3" s="3" customFormat="1" x14ac:dyDescent="0.2">
      <c r="A79" s="24" t="s">
        <v>62</v>
      </c>
      <c r="B79" s="29"/>
      <c r="C79" s="22">
        <f>SUM(C67:C78)</f>
        <v>229024</v>
      </c>
    </row>
    <row r="80" spans="1:3" x14ac:dyDescent="0.2">
      <c r="A80" s="16" t="s">
        <v>6</v>
      </c>
      <c r="B80" s="16" t="s">
        <v>110</v>
      </c>
      <c r="C80" s="27">
        <v>25896</v>
      </c>
    </row>
    <row r="81" spans="1:3" x14ac:dyDescent="0.2">
      <c r="A81" s="17"/>
      <c r="B81" s="18" t="s">
        <v>111</v>
      </c>
      <c r="C81" s="28">
        <v>22657</v>
      </c>
    </row>
    <row r="82" spans="1:3" x14ac:dyDescent="0.2">
      <c r="A82" s="17"/>
      <c r="B82" s="18" t="s">
        <v>112</v>
      </c>
      <c r="C82" s="28">
        <v>28700</v>
      </c>
    </row>
    <row r="83" spans="1:3" x14ac:dyDescent="0.2">
      <c r="A83" s="17"/>
      <c r="B83" s="18" t="s">
        <v>113</v>
      </c>
      <c r="C83" s="28">
        <v>31863</v>
      </c>
    </row>
    <row r="84" spans="1:3" x14ac:dyDescent="0.2">
      <c r="A84" s="17"/>
      <c r="B84" s="18" t="s">
        <v>114</v>
      </c>
      <c r="C84" s="28">
        <v>31303</v>
      </c>
    </row>
    <row r="85" spans="1:3" x14ac:dyDescent="0.2">
      <c r="A85" s="17"/>
      <c r="B85" s="18" t="s">
        <v>115</v>
      </c>
      <c r="C85" s="28">
        <v>17981</v>
      </c>
    </row>
    <row r="86" spans="1:3" x14ac:dyDescent="0.2">
      <c r="A86" s="17"/>
      <c r="B86" s="18" t="s">
        <v>116</v>
      </c>
      <c r="C86" s="28">
        <v>10860</v>
      </c>
    </row>
    <row r="87" spans="1:3" x14ac:dyDescent="0.2">
      <c r="A87" s="17"/>
      <c r="B87" s="18" t="s">
        <v>117</v>
      </c>
      <c r="C87" s="28">
        <v>6716</v>
      </c>
    </row>
    <row r="88" spans="1:3" x14ac:dyDescent="0.2">
      <c r="A88" s="17"/>
      <c r="B88" s="18" t="s">
        <v>118</v>
      </c>
      <c r="C88" s="28">
        <v>6818</v>
      </c>
    </row>
    <row r="89" spans="1:3" x14ac:dyDescent="0.2">
      <c r="A89" s="17"/>
      <c r="B89" s="18" t="s">
        <v>119</v>
      </c>
      <c r="C89" s="28">
        <v>10188</v>
      </c>
    </row>
    <row r="90" spans="1:3" x14ac:dyDescent="0.2">
      <c r="A90" s="17"/>
      <c r="B90" s="18" t="s">
        <v>120</v>
      </c>
      <c r="C90" s="28">
        <v>10680</v>
      </c>
    </row>
    <row r="91" spans="1:3" x14ac:dyDescent="0.2">
      <c r="A91" s="17"/>
      <c r="B91" s="18" t="s">
        <v>121</v>
      </c>
      <c r="C91" s="28">
        <v>24287</v>
      </c>
    </row>
    <row r="92" spans="1:3" s="3" customFormat="1" x14ac:dyDescent="0.2">
      <c r="A92" s="24" t="s">
        <v>63</v>
      </c>
      <c r="B92" s="29"/>
      <c r="C92" s="22">
        <f>SUM(C80:C91)</f>
        <v>227949</v>
      </c>
    </row>
    <row r="93" spans="1:3" x14ac:dyDescent="0.2">
      <c r="A93" s="16" t="s">
        <v>7</v>
      </c>
      <c r="B93" s="16" t="s">
        <v>110</v>
      </c>
      <c r="C93" s="27">
        <v>2078</v>
      </c>
    </row>
    <row r="94" spans="1:3" x14ac:dyDescent="0.2">
      <c r="A94" s="17"/>
      <c r="B94" s="18" t="s">
        <v>111</v>
      </c>
      <c r="C94" s="28">
        <v>5908</v>
      </c>
    </row>
    <row r="95" spans="1:3" x14ac:dyDescent="0.2">
      <c r="A95" s="17"/>
      <c r="B95" s="18" t="s">
        <v>112</v>
      </c>
      <c r="C95" s="28">
        <v>4982</v>
      </c>
    </row>
    <row r="96" spans="1:3" x14ac:dyDescent="0.2">
      <c r="A96" s="17"/>
      <c r="B96" s="18" t="s">
        <v>113</v>
      </c>
      <c r="C96" s="28">
        <v>4022</v>
      </c>
    </row>
    <row r="97" spans="1:3" x14ac:dyDescent="0.2">
      <c r="A97" s="17"/>
      <c r="B97" s="18" t="s">
        <v>114</v>
      </c>
      <c r="C97" s="28">
        <v>3793</v>
      </c>
    </row>
    <row r="98" spans="1:3" x14ac:dyDescent="0.2">
      <c r="A98" s="17"/>
      <c r="B98" s="18" t="s">
        <v>115</v>
      </c>
      <c r="C98" s="28">
        <v>3115</v>
      </c>
    </row>
    <row r="99" spans="1:3" x14ac:dyDescent="0.2">
      <c r="A99" s="17"/>
      <c r="B99" s="18" t="s">
        <v>116</v>
      </c>
      <c r="C99" s="28">
        <v>2614</v>
      </c>
    </row>
    <row r="100" spans="1:3" x14ac:dyDescent="0.2">
      <c r="A100" s="17"/>
      <c r="B100" s="18" t="s">
        <v>117</v>
      </c>
      <c r="C100" s="28">
        <v>3016</v>
      </c>
    </row>
    <row r="101" spans="1:3" x14ac:dyDescent="0.2">
      <c r="A101" s="17"/>
      <c r="B101" s="18" t="s">
        <v>118</v>
      </c>
      <c r="C101" s="28">
        <v>2742</v>
      </c>
    </row>
    <row r="102" spans="1:3" x14ac:dyDescent="0.2">
      <c r="A102" s="17"/>
      <c r="B102" s="18" t="s">
        <v>119</v>
      </c>
      <c r="C102" s="28">
        <v>2577</v>
      </c>
    </row>
    <row r="103" spans="1:3" x14ac:dyDescent="0.2">
      <c r="A103" s="17"/>
      <c r="B103" s="18" t="s">
        <v>120</v>
      </c>
      <c r="C103" s="28">
        <v>2040</v>
      </c>
    </row>
    <row r="104" spans="1:3" x14ac:dyDescent="0.2">
      <c r="A104" s="17"/>
      <c r="B104" s="18" t="s">
        <v>121</v>
      </c>
      <c r="C104" s="28">
        <v>3009</v>
      </c>
    </row>
    <row r="105" spans="1:3" s="3" customFormat="1" x14ac:dyDescent="0.2">
      <c r="A105" s="24" t="s">
        <v>64</v>
      </c>
      <c r="B105" s="29"/>
      <c r="C105" s="22">
        <f>SUM(C93:C104)</f>
        <v>39896</v>
      </c>
    </row>
    <row r="106" spans="1:3" x14ac:dyDescent="0.2">
      <c r="A106" s="16" t="s">
        <v>8</v>
      </c>
      <c r="B106" s="16" t="s">
        <v>110</v>
      </c>
      <c r="C106" s="27">
        <v>38747</v>
      </c>
    </row>
    <row r="107" spans="1:3" x14ac:dyDescent="0.2">
      <c r="A107" s="17"/>
      <c r="B107" s="18" t="s">
        <v>111</v>
      </c>
      <c r="C107" s="28">
        <v>41494</v>
      </c>
    </row>
    <row r="108" spans="1:3" x14ac:dyDescent="0.2">
      <c r="A108" s="17"/>
      <c r="B108" s="18" t="s">
        <v>112</v>
      </c>
      <c r="C108" s="28">
        <v>55052</v>
      </c>
    </row>
    <row r="109" spans="1:3" x14ac:dyDescent="0.2">
      <c r="A109" s="17"/>
      <c r="B109" s="18" t="s">
        <v>113</v>
      </c>
      <c r="C109" s="28">
        <v>59617</v>
      </c>
    </row>
    <row r="110" spans="1:3" x14ac:dyDescent="0.2">
      <c r="A110" s="17"/>
      <c r="B110" s="18" t="s">
        <v>114</v>
      </c>
      <c r="C110" s="28">
        <v>54123</v>
      </c>
    </row>
    <row r="111" spans="1:3" x14ac:dyDescent="0.2">
      <c r="A111" s="17"/>
      <c r="B111" s="18" t="s">
        <v>115</v>
      </c>
      <c r="C111" s="28">
        <v>32777</v>
      </c>
    </row>
    <row r="112" spans="1:3" x14ac:dyDescent="0.2">
      <c r="A112" s="17"/>
      <c r="B112" s="18" t="s">
        <v>116</v>
      </c>
      <c r="C112" s="28">
        <v>20798</v>
      </c>
    </row>
    <row r="113" spans="1:3" x14ac:dyDescent="0.2">
      <c r="A113" s="17"/>
      <c r="B113" s="18" t="s">
        <v>117</v>
      </c>
      <c r="C113" s="28">
        <v>13123</v>
      </c>
    </row>
    <row r="114" spans="1:3" x14ac:dyDescent="0.2">
      <c r="A114" s="17"/>
      <c r="B114" s="18" t="s">
        <v>118</v>
      </c>
      <c r="C114" s="28">
        <v>12999</v>
      </c>
    </row>
    <row r="115" spans="1:3" x14ac:dyDescent="0.2">
      <c r="A115" s="17"/>
      <c r="B115" s="18" t="s">
        <v>119</v>
      </c>
      <c r="C115" s="28">
        <v>18742</v>
      </c>
    </row>
    <row r="116" spans="1:3" x14ac:dyDescent="0.2">
      <c r="A116" s="17"/>
      <c r="B116" s="18" t="s">
        <v>120</v>
      </c>
      <c r="C116" s="28">
        <v>20102</v>
      </c>
    </row>
    <row r="117" spans="1:3" x14ac:dyDescent="0.2">
      <c r="A117" s="17"/>
      <c r="B117" s="18" t="s">
        <v>121</v>
      </c>
      <c r="C117" s="28">
        <v>23410</v>
      </c>
    </row>
    <row r="118" spans="1:3" s="3" customFormat="1" x14ac:dyDescent="0.2">
      <c r="A118" s="24" t="s">
        <v>65</v>
      </c>
      <c r="B118" s="29"/>
      <c r="C118" s="22">
        <f>SUM(C106:C117)</f>
        <v>390984</v>
      </c>
    </row>
    <row r="119" spans="1:3" x14ac:dyDescent="0.2">
      <c r="A119" s="16" t="s">
        <v>9</v>
      </c>
      <c r="B119" s="16" t="s">
        <v>110</v>
      </c>
      <c r="C119" s="27">
        <v>704</v>
      </c>
    </row>
    <row r="120" spans="1:3" x14ac:dyDescent="0.2">
      <c r="A120" s="17"/>
      <c r="B120" s="18" t="s">
        <v>111</v>
      </c>
      <c r="C120" s="28">
        <v>586</v>
      </c>
    </row>
    <row r="121" spans="1:3" x14ac:dyDescent="0.2">
      <c r="A121" s="17"/>
      <c r="B121" s="18" t="s">
        <v>112</v>
      </c>
      <c r="C121" s="28">
        <v>388</v>
      </c>
    </row>
    <row r="122" spans="1:3" x14ac:dyDescent="0.2">
      <c r="A122" s="17"/>
      <c r="B122" s="18" t="s">
        <v>113</v>
      </c>
      <c r="C122" s="28">
        <v>501</v>
      </c>
    </row>
    <row r="123" spans="1:3" x14ac:dyDescent="0.2">
      <c r="A123" s="17"/>
      <c r="B123" s="18" t="s">
        <v>114</v>
      </c>
      <c r="C123" s="28">
        <v>556</v>
      </c>
    </row>
    <row r="124" spans="1:3" x14ac:dyDescent="0.2">
      <c r="A124" s="17"/>
      <c r="B124" s="18" t="s">
        <v>115</v>
      </c>
      <c r="C124" s="28">
        <v>379</v>
      </c>
    </row>
    <row r="125" spans="1:3" x14ac:dyDescent="0.2">
      <c r="A125" s="17"/>
      <c r="B125" s="18" t="s">
        <v>116</v>
      </c>
      <c r="C125" s="28">
        <v>288</v>
      </c>
    </row>
    <row r="126" spans="1:3" x14ac:dyDescent="0.2">
      <c r="A126" s="17"/>
      <c r="B126" s="18" t="s">
        <v>117</v>
      </c>
      <c r="C126" s="28">
        <v>396</v>
      </c>
    </row>
    <row r="127" spans="1:3" x14ac:dyDescent="0.2">
      <c r="A127" s="17"/>
      <c r="B127" s="18" t="s">
        <v>118</v>
      </c>
      <c r="C127" s="28">
        <v>490</v>
      </c>
    </row>
    <row r="128" spans="1:3" x14ac:dyDescent="0.2">
      <c r="A128" s="17"/>
      <c r="B128" s="18" t="s">
        <v>119</v>
      </c>
      <c r="C128" s="28">
        <v>445</v>
      </c>
    </row>
    <row r="129" spans="1:3" x14ac:dyDescent="0.2">
      <c r="A129" s="17"/>
      <c r="B129" s="18" t="s">
        <v>120</v>
      </c>
      <c r="C129" s="28">
        <v>318</v>
      </c>
    </row>
    <row r="130" spans="1:3" x14ac:dyDescent="0.2">
      <c r="A130" s="17"/>
      <c r="B130" s="18" t="s">
        <v>121</v>
      </c>
      <c r="C130" s="28">
        <v>249</v>
      </c>
    </row>
    <row r="131" spans="1:3" s="3" customFormat="1" x14ac:dyDescent="0.2">
      <c r="A131" s="24" t="s">
        <v>66</v>
      </c>
      <c r="B131" s="29"/>
      <c r="C131" s="22">
        <f>SUM(C119:C130)</f>
        <v>5300</v>
      </c>
    </row>
    <row r="132" spans="1:3" x14ac:dyDescent="0.2">
      <c r="A132" s="16" t="s">
        <v>10</v>
      </c>
      <c r="B132" s="16" t="s">
        <v>110</v>
      </c>
      <c r="C132" s="27">
        <v>28691</v>
      </c>
    </row>
    <row r="133" spans="1:3" x14ac:dyDescent="0.2">
      <c r="A133" s="17"/>
      <c r="B133" s="18" t="s">
        <v>111</v>
      </c>
      <c r="C133" s="28">
        <v>81500</v>
      </c>
    </row>
    <row r="134" spans="1:3" x14ac:dyDescent="0.2">
      <c r="A134" s="17"/>
      <c r="B134" s="18" t="s">
        <v>112</v>
      </c>
      <c r="C134" s="28">
        <v>71936</v>
      </c>
    </row>
    <row r="135" spans="1:3" x14ac:dyDescent="0.2">
      <c r="A135" s="17"/>
      <c r="B135" s="18" t="s">
        <v>113</v>
      </c>
      <c r="C135" s="28">
        <v>70565</v>
      </c>
    </row>
    <row r="136" spans="1:3" x14ac:dyDescent="0.2">
      <c r="A136" s="17"/>
      <c r="B136" s="18" t="s">
        <v>114</v>
      </c>
      <c r="C136" s="28">
        <v>58632</v>
      </c>
    </row>
    <row r="137" spans="1:3" x14ac:dyDescent="0.2">
      <c r="A137" s="17"/>
      <c r="B137" s="18" t="s">
        <v>115</v>
      </c>
      <c r="C137" s="28">
        <v>36994</v>
      </c>
    </row>
    <row r="138" spans="1:3" x14ac:dyDescent="0.2">
      <c r="A138" s="17"/>
      <c r="B138" s="18" t="s">
        <v>116</v>
      </c>
      <c r="C138" s="28">
        <v>23918</v>
      </c>
    </row>
    <row r="139" spans="1:3" x14ac:dyDescent="0.2">
      <c r="A139" s="17"/>
      <c r="B139" s="18" t="s">
        <v>117</v>
      </c>
      <c r="C139" s="28">
        <v>16625</v>
      </c>
    </row>
    <row r="140" spans="1:3" x14ac:dyDescent="0.2">
      <c r="A140" s="17"/>
      <c r="B140" s="18" t="s">
        <v>118</v>
      </c>
      <c r="C140" s="28">
        <v>16737</v>
      </c>
    </row>
    <row r="141" spans="1:3" x14ac:dyDescent="0.2">
      <c r="A141" s="17"/>
      <c r="B141" s="18" t="s">
        <v>119</v>
      </c>
      <c r="C141" s="28">
        <v>26737</v>
      </c>
    </row>
    <row r="142" spans="1:3" x14ac:dyDescent="0.2">
      <c r="A142" s="17"/>
      <c r="B142" s="18" t="s">
        <v>120</v>
      </c>
      <c r="C142" s="28">
        <v>32218</v>
      </c>
    </row>
    <row r="143" spans="1:3" x14ac:dyDescent="0.2">
      <c r="A143" s="17"/>
      <c r="B143" s="18" t="s">
        <v>121</v>
      </c>
      <c r="C143" s="28">
        <v>33448</v>
      </c>
    </row>
    <row r="144" spans="1:3" s="3" customFormat="1" x14ac:dyDescent="0.2">
      <c r="A144" s="24" t="s">
        <v>67</v>
      </c>
      <c r="B144" s="29"/>
      <c r="C144" s="22">
        <f>SUM(C132:C143)</f>
        <v>498001</v>
      </c>
    </row>
    <row r="145" spans="1:3" x14ac:dyDescent="0.2">
      <c r="A145" s="16" t="s">
        <v>11</v>
      </c>
      <c r="B145" s="16" t="s">
        <v>110</v>
      </c>
      <c r="C145" s="27">
        <v>10709</v>
      </c>
    </row>
    <row r="146" spans="1:3" x14ac:dyDescent="0.2">
      <c r="A146" s="17"/>
      <c r="B146" s="18" t="s">
        <v>111</v>
      </c>
      <c r="C146" s="28">
        <v>9513</v>
      </c>
    </row>
    <row r="147" spans="1:3" x14ac:dyDescent="0.2">
      <c r="A147" s="17"/>
      <c r="B147" s="18" t="s">
        <v>112</v>
      </c>
      <c r="C147" s="28">
        <v>10495</v>
      </c>
    </row>
    <row r="148" spans="1:3" x14ac:dyDescent="0.2">
      <c r="A148" s="17"/>
      <c r="B148" s="18" t="s">
        <v>113</v>
      </c>
      <c r="C148" s="28">
        <v>11355</v>
      </c>
    </row>
    <row r="149" spans="1:3" x14ac:dyDescent="0.2">
      <c r="A149" s="17"/>
      <c r="B149" s="18" t="s">
        <v>114</v>
      </c>
      <c r="C149" s="28">
        <v>12993</v>
      </c>
    </row>
    <row r="150" spans="1:3" x14ac:dyDescent="0.2">
      <c r="A150" s="17"/>
      <c r="B150" s="18" t="s">
        <v>115</v>
      </c>
      <c r="C150" s="28">
        <v>6533</v>
      </c>
    </row>
    <row r="151" spans="1:3" x14ac:dyDescent="0.2">
      <c r="A151" s="17"/>
      <c r="B151" s="18" t="s">
        <v>116</v>
      </c>
      <c r="C151" s="28">
        <v>7064</v>
      </c>
    </row>
    <row r="152" spans="1:3" x14ac:dyDescent="0.2">
      <c r="A152" s="17"/>
      <c r="B152" s="18" t="s">
        <v>117</v>
      </c>
      <c r="C152" s="28">
        <v>7353</v>
      </c>
    </row>
    <row r="153" spans="1:3" x14ac:dyDescent="0.2">
      <c r="A153" s="17"/>
      <c r="B153" s="18" t="s">
        <v>118</v>
      </c>
      <c r="C153" s="28">
        <v>10190</v>
      </c>
    </row>
    <row r="154" spans="1:3" x14ac:dyDescent="0.2">
      <c r="A154" s="17"/>
      <c r="B154" s="18" t="s">
        <v>119</v>
      </c>
      <c r="C154" s="28">
        <v>12561</v>
      </c>
    </row>
    <row r="155" spans="1:3" x14ac:dyDescent="0.2">
      <c r="A155" s="17"/>
      <c r="B155" s="18" t="s">
        <v>120</v>
      </c>
      <c r="C155" s="28">
        <v>8987</v>
      </c>
    </row>
    <row r="156" spans="1:3" x14ac:dyDescent="0.2">
      <c r="A156" s="17"/>
      <c r="B156" s="18" t="s">
        <v>121</v>
      </c>
      <c r="C156" s="28">
        <v>10139</v>
      </c>
    </row>
    <row r="157" spans="1:3" s="3" customFormat="1" x14ac:dyDescent="0.2">
      <c r="A157" s="24" t="s">
        <v>68</v>
      </c>
      <c r="B157" s="29"/>
      <c r="C157" s="22">
        <f>SUM(C145:C156)</f>
        <v>117892</v>
      </c>
    </row>
    <row r="158" spans="1:3" x14ac:dyDescent="0.2">
      <c r="A158" s="16" t="s">
        <v>12</v>
      </c>
      <c r="B158" s="16" t="s">
        <v>110</v>
      </c>
      <c r="C158" s="27">
        <v>51066</v>
      </c>
    </row>
    <row r="159" spans="1:3" x14ac:dyDescent="0.2">
      <c r="A159" s="17"/>
      <c r="B159" s="18" t="s">
        <v>111</v>
      </c>
      <c r="C159" s="28">
        <v>46412</v>
      </c>
    </row>
    <row r="160" spans="1:3" x14ac:dyDescent="0.2">
      <c r="A160" s="17"/>
      <c r="B160" s="18" t="s">
        <v>112</v>
      </c>
      <c r="C160" s="28">
        <v>42647</v>
      </c>
    </row>
    <row r="161" spans="1:3" x14ac:dyDescent="0.2">
      <c r="A161" s="17"/>
      <c r="B161" s="18" t="s">
        <v>113</v>
      </c>
      <c r="C161" s="28">
        <v>42584</v>
      </c>
    </row>
    <row r="162" spans="1:3" x14ac:dyDescent="0.2">
      <c r="A162" s="17"/>
      <c r="B162" s="18" t="s">
        <v>114</v>
      </c>
      <c r="C162" s="28">
        <v>44791</v>
      </c>
    </row>
    <row r="163" spans="1:3" x14ac:dyDescent="0.2">
      <c r="A163" s="17"/>
      <c r="B163" s="18" t="s">
        <v>115</v>
      </c>
      <c r="C163" s="28">
        <v>29164</v>
      </c>
    </row>
    <row r="164" spans="1:3" x14ac:dyDescent="0.2">
      <c r="A164" s="17"/>
      <c r="B164" s="18" t="s">
        <v>116</v>
      </c>
      <c r="C164" s="28">
        <v>26659</v>
      </c>
    </row>
    <row r="165" spans="1:3" x14ac:dyDescent="0.2">
      <c r="A165" s="17"/>
      <c r="B165" s="18" t="s">
        <v>117</v>
      </c>
      <c r="C165" s="28">
        <v>27598</v>
      </c>
    </row>
    <row r="166" spans="1:3" x14ac:dyDescent="0.2">
      <c r="A166" s="17"/>
      <c r="B166" s="18" t="s">
        <v>118</v>
      </c>
      <c r="C166" s="28">
        <v>27138</v>
      </c>
    </row>
    <row r="167" spans="1:3" x14ac:dyDescent="0.2">
      <c r="A167" s="17"/>
      <c r="B167" s="18" t="s">
        <v>119</v>
      </c>
      <c r="C167" s="28">
        <v>32098</v>
      </c>
    </row>
    <row r="168" spans="1:3" x14ac:dyDescent="0.2">
      <c r="A168" s="17"/>
      <c r="B168" s="18" t="s">
        <v>120</v>
      </c>
      <c r="C168" s="28">
        <v>24294</v>
      </c>
    </row>
    <row r="169" spans="1:3" x14ac:dyDescent="0.2">
      <c r="A169" s="17"/>
      <c r="B169" s="18" t="s">
        <v>121</v>
      </c>
      <c r="C169" s="28">
        <v>17730</v>
      </c>
    </row>
    <row r="170" spans="1:3" s="3" customFormat="1" x14ac:dyDescent="0.2">
      <c r="A170" s="24" t="s">
        <v>69</v>
      </c>
      <c r="B170" s="29"/>
      <c r="C170" s="22">
        <f>SUM(C158:C169)</f>
        <v>412181</v>
      </c>
    </row>
    <row r="171" spans="1:3" x14ac:dyDescent="0.2">
      <c r="A171" s="16" t="s">
        <v>13</v>
      </c>
      <c r="B171" s="16" t="s">
        <v>110</v>
      </c>
      <c r="C171" s="27">
        <v>23364</v>
      </c>
    </row>
    <row r="172" spans="1:3" x14ac:dyDescent="0.2">
      <c r="A172" s="17"/>
      <c r="B172" s="18" t="s">
        <v>111</v>
      </c>
      <c r="C172" s="28">
        <v>28414</v>
      </c>
    </row>
    <row r="173" spans="1:3" x14ac:dyDescent="0.2">
      <c r="A173" s="17"/>
      <c r="B173" s="18" t="s">
        <v>112</v>
      </c>
      <c r="C173" s="28">
        <v>24020</v>
      </c>
    </row>
    <row r="174" spans="1:3" x14ac:dyDescent="0.2">
      <c r="A174" s="17"/>
      <c r="B174" s="18" t="s">
        <v>113</v>
      </c>
      <c r="C174" s="28">
        <v>23619</v>
      </c>
    </row>
    <row r="175" spans="1:3" x14ac:dyDescent="0.2">
      <c r="A175" s="17"/>
      <c r="B175" s="18" t="s">
        <v>114</v>
      </c>
      <c r="C175" s="28">
        <v>25657</v>
      </c>
    </row>
    <row r="176" spans="1:3" x14ac:dyDescent="0.2">
      <c r="A176" s="17"/>
      <c r="B176" s="18" t="s">
        <v>115</v>
      </c>
      <c r="C176" s="28">
        <v>16800</v>
      </c>
    </row>
    <row r="177" spans="1:3" x14ac:dyDescent="0.2">
      <c r="A177" s="17"/>
      <c r="B177" s="18" t="s">
        <v>116</v>
      </c>
      <c r="C177" s="28">
        <v>10283</v>
      </c>
    </row>
    <row r="178" spans="1:3" x14ac:dyDescent="0.2">
      <c r="A178" s="17"/>
      <c r="B178" s="18" t="s">
        <v>117</v>
      </c>
      <c r="C178" s="28">
        <v>9257</v>
      </c>
    </row>
    <row r="179" spans="1:3" x14ac:dyDescent="0.2">
      <c r="A179" s="17"/>
      <c r="B179" s="18" t="s">
        <v>118</v>
      </c>
      <c r="C179" s="28">
        <v>11886</v>
      </c>
    </row>
    <row r="180" spans="1:3" x14ac:dyDescent="0.2">
      <c r="A180" s="17"/>
      <c r="B180" s="18" t="s">
        <v>119</v>
      </c>
      <c r="C180" s="28">
        <v>17766</v>
      </c>
    </row>
    <row r="181" spans="1:3" x14ac:dyDescent="0.2">
      <c r="A181" s="17"/>
      <c r="B181" s="18" t="s">
        <v>120</v>
      </c>
      <c r="C181" s="28">
        <v>20439</v>
      </c>
    </row>
    <row r="182" spans="1:3" x14ac:dyDescent="0.2">
      <c r="A182" s="17"/>
      <c r="B182" s="18" t="s">
        <v>121</v>
      </c>
      <c r="C182" s="28">
        <v>25587</v>
      </c>
    </row>
    <row r="183" spans="1:3" s="3" customFormat="1" x14ac:dyDescent="0.2">
      <c r="A183" s="24" t="s">
        <v>70</v>
      </c>
      <c r="B183" s="29"/>
      <c r="C183" s="22">
        <f>SUM(C171:C182)</f>
        <v>237092</v>
      </c>
    </row>
    <row r="184" spans="1:3" x14ac:dyDescent="0.2">
      <c r="A184" s="16" t="s">
        <v>14</v>
      </c>
      <c r="B184" s="16" t="s">
        <v>110</v>
      </c>
      <c r="C184" s="27">
        <v>24110</v>
      </c>
    </row>
    <row r="185" spans="1:3" x14ac:dyDescent="0.2">
      <c r="A185" s="17"/>
      <c r="B185" s="18" t="s">
        <v>111</v>
      </c>
      <c r="C185" s="28">
        <v>29833</v>
      </c>
    </row>
    <row r="186" spans="1:3" x14ac:dyDescent="0.2">
      <c r="A186" s="17"/>
      <c r="B186" s="18" t="s">
        <v>112</v>
      </c>
      <c r="C186" s="28">
        <v>23280</v>
      </c>
    </row>
    <row r="187" spans="1:3" x14ac:dyDescent="0.2">
      <c r="A187" s="17"/>
      <c r="B187" s="18" t="s">
        <v>113</v>
      </c>
      <c r="C187" s="28">
        <v>24570</v>
      </c>
    </row>
    <row r="188" spans="1:3" x14ac:dyDescent="0.2">
      <c r="A188" s="17"/>
      <c r="B188" s="18" t="s">
        <v>114</v>
      </c>
      <c r="C188" s="28">
        <v>36676</v>
      </c>
    </row>
    <row r="189" spans="1:3" x14ac:dyDescent="0.2">
      <c r="A189" s="17"/>
      <c r="B189" s="18" t="s">
        <v>115</v>
      </c>
      <c r="C189" s="28">
        <v>19968</v>
      </c>
    </row>
    <row r="190" spans="1:3" x14ac:dyDescent="0.2">
      <c r="A190" s="17"/>
      <c r="B190" s="18" t="s">
        <v>116</v>
      </c>
      <c r="C190" s="28">
        <v>12973</v>
      </c>
    </row>
    <row r="191" spans="1:3" x14ac:dyDescent="0.2">
      <c r="A191" s="17"/>
      <c r="B191" s="18" t="s">
        <v>117</v>
      </c>
      <c r="C191" s="28">
        <v>10338</v>
      </c>
    </row>
    <row r="192" spans="1:3" x14ac:dyDescent="0.2">
      <c r="A192" s="17"/>
      <c r="B192" s="18" t="s">
        <v>118</v>
      </c>
      <c r="C192" s="28">
        <v>11707</v>
      </c>
    </row>
    <row r="193" spans="1:3" x14ac:dyDescent="0.2">
      <c r="A193" s="17"/>
      <c r="B193" s="18" t="s">
        <v>119</v>
      </c>
      <c r="C193" s="28">
        <v>15426</v>
      </c>
    </row>
    <row r="194" spans="1:3" x14ac:dyDescent="0.2">
      <c r="A194" s="17"/>
      <c r="B194" s="18" t="s">
        <v>120</v>
      </c>
      <c r="C194" s="28">
        <v>15629</v>
      </c>
    </row>
    <row r="195" spans="1:3" x14ac:dyDescent="0.2">
      <c r="A195" s="17"/>
      <c r="B195" s="18" t="s">
        <v>121</v>
      </c>
      <c r="C195" s="28">
        <v>23548</v>
      </c>
    </row>
    <row r="196" spans="1:3" s="3" customFormat="1" x14ac:dyDescent="0.2">
      <c r="A196" s="24" t="s">
        <v>71</v>
      </c>
      <c r="B196" s="29"/>
      <c r="C196" s="22">
        <f>SUM(C184:C195)</f>
        <v>248058</v>
      </c>
    </row>
    <row r="197" spans="1:3" x14ac:dyDescent="0.2">
      <c r="A197" s="16" t="s">
        <v>15</v>
      </c>
      <c r="B197" s="16" t="s">
        <v>110</v>
      </c>
      <c r="C197" s="27">
        <v>6922</v>
      </c>
    </row>
    <row r="198" spans="1:3" x14ac:dyDescent="0.2">
      <c r="A198" s="17"/>
      <c r="B198" s="18" t="s">
        <v>111</v>
      </c>
      <c r="C198" s="28">
        <v>4572</v>
      </c>
    </row>
    <row r="199" spans="1:3" x14ac:dyDescent="0.2">
      <c r="A199" s="17"/>
      <c r="B199" s="18" t="s">
        <v>112</v>
      </c>
      <c r="C199" s="28">
        <v>4051</v>
      </c>
    </row>
    <row r="200" spans="1:3" x14ac:dyDescent="0.2">
      <c r="A200" s="17"/>
      <c r="B200" s="18" t="s">
        <v>113</v>
      </c>
      <c r="C200" s="28">
        <v>2774</v>
      </c>
    </row>
    <row r="201" spans="1:3" x14ac:dyDescent="0.2">
      <c r="A201" s="17"/>
      <c r="B201" s="18" t="s">
        <v>114</v>
      </c>
      <c r="C201" s="28">
        <v>2962</v>
      </c>
    </row>
    <row r="202" spans="1:3" x14ac:dyDescent="0.2">
      <c r="A202" s="17"/>
      <c r="B202" s="18" t="s">
        <v>115</v>
      </c>
      <c r="C202" s="28">
        <v>1928</v>
      </c>
    </row>
    <row r="203" spans="1:3" x14ac:dyDescent="0.2">
      <c r="A203" s="17"/>
      <c r="B203" s="18" t="s">
        <v>116</v>
      </c>
      <c r="C203" s="28">
        <v>2651</v>
      </c>
    </row>
    <row r="204" spans="1:3" x14ac:dyDescent="0.2">
      <c r="A204" s="17"/>
      <c r="B204" s="18" t="s">
        <v>117</v>
      </c>
      <c r="C204" s="28">
        <v>2711</v>
      </c>
    </row>
    <row r="205" spans="1:3" x14ac:dyDescent="0.2">
      <c r="A205" s="17"/>
      <c r="B205" s="18" t="s">
        <v>118</v>
      </c>
      <c r="C205" s="28">
        <v>2997</v>
      </c>
    </row>
    <row r="206" spans="1:3" x14ac:dyDescent="0.2">
      <c r="A206" s="17"/>
      <c r="B206" s="18" t="s">
        <v>119</v>
      </c>
      <c r="C206" s="28">
        <v>3272</v>
      </c>
    </row>
    <row r="207" spans="1:3" x14ac:dyDescent="0.2">
      <c r="A207" s="17"/>
      <c r="B207" s="18" t="s">
        <v>120</v>
      </c>
      <c r="C207" s="28">
        <v>3061</v>
      </c>
    </row>
    <row r="208" spans="1:3" x14ac:dyDescent="0.2">
      <c r="A208" s="17"/>
      <c r="B208" s="18" t="s">
        <v>121</v>
      </c>
      <c r="C208" s="28">
        <v>5168</v>
      </c>
    </row>
    <row r="209" spans="1:3" s="3" customFormat="1" x14ac:dyDescent="0.2">
      <c r="A209" s="24" t="s">
        <v>72</v>
      </c>
      <c r="B209" s="29"/>
      <c r="C209" s="22">
        <f>SUM(C197:C208)</f>
        <v>43069</v>
      </c>
    </row>
    <row r="210" spans="1:3" x14ac:dyDescent="0.2">
      <c r="A210" s="16" t="s">
        <v>16</v>
      </c>
      <c r="B210" s="16" t="s">
        <v>110</v>
      </c>
      <c r="C210" s="27">
        <v>19237</v>
      </c>
    </row>
    <row r="211" spans="1:3" x14ac:dyDescent="0.2">
      <c r="A211" s="17"/>
      <c r="B211" s="18" t="s">
        <v>111</v>
      </c>
      <c r="C211" s="28">
        <v>18892</v>
      </c>
    </row>
    <row r="212" spans="1:3" x14ac:dyDescent="0.2">
      <c r="A212" s="17"/>
      <c r="B212" s="18" t="s">
        <v>112</v>
      </c>
      <c r="C212" s="28">
        <v>29616</v>
      </c>
    </row>
    <row r="213" spans="1:3" x14ac:dyDescent="0.2">
      <c r="A213" s="17"/>
      <c r="B213" s="18" t="s">
        <v>113</v>
      </c>
      <c r="C213" s="28">
        <v>33337</v>
      </c>
    </row>
    <row r="214" spans="1:3" x14ac:dyDescent="0.2">
      <c r="A214" s="17"/>
      <c r="B214" s="18" t="s">
        <v>114</v>
      </c>
      <c r="C214" s="28">
        <v>28395</v>
      </c>
    </row>
    <row r="215" spans="1:3" x14ac:dyDescent="0.2">
      <c r="A215" s="17"/>
      <c r="B215" s="18" t="s">
        <v>115</v>
      </c>
      <c r="C215" s="28">
        <v>14745</v>
      </c>
    </row>
    <row r="216" spans="1:3" x14ac:dyDescent="0.2">
      <c r="A216" s="17"/>
      <c r="B216" s="18" t="s">
        <v>116</v>
      </c>
      <c r="C216" s="28">
        <v>7270</v>
      </c>
    </row>
    <row r="217" spans="1:3" x14ac:dyDescent="0.2">
      <c r="A217" s="17"/>
      <c r="B217" s="18" t="s">
        <v>117</v>
      </c>
      <c r="C217" s="28">
        <v>3169</v>
      </c>
    </row>
    <row r="218" spans="1:3" x14ac:dyDescent="0.2">
      <c r="A218" s="17"/>
      <c r="B218" s="18" t="s">
        <v>118</v>
      </c>
      <c r="C218" s="28">
        <v>2785</v>
      </c>
    </row>
    <row r="219" spans="1:3" x14ac:dyDescent="0.2">
      <c r="A219" s="17"/>
      <c r="B219" s="18" t="s">
        <v>119</v>
      </c>
      <c r="C219" s="28">
        <v>3572</v>
      </c>
    </row>
    <row r="220" spans="1:3" x14ac:dyDescent="0.2">
      <c r="A220" s="17"/>
      <c r="B220" s="18" t="s">
        <v>120</v>
      </c>
      <c r="C220" s="28">
        <v>4091</v>
      </c>
    </row>
    <row r="221" spans="1:3" x14ac:dyDescent="0.2">
      <c r="A221" s="17"/>
      <c r="B221" s="18" t="s">
        <v>121</v>
      </c>
      <c r="C221" s="28">
        <v>5843</v>
      </c>
    </row>
    <row r="222" spans="1:3" s="3" customFormat="1" x14ac:dyDescent="0.2">
      <c r="A222" s="24" t="s">
        <v>73</v>
      </c>
      <c r="B222" s="29"/>
      <c r="C222" s="22">
        <f>SUM(C210:C221)</f>
        <v>170952</v>
      </c>
    </row>
    <row r="223" spans="1:3" x14ac:dyDescent="0.2">
      <c r="A223" s="16" t="s">
        <v>17</v>
      </c>
      <c r="B223" s="16" t="s">
        <v>110</v>
      </c>
      <c r="C223" s="27">
        <v>8865</v>
      </c>
    </row>
    <row r="224" spans="1:3" x14ac:dyDescent="0.2">
      <c r="A224" s="17"/>
      <c r="B224" s="18" t="s">
        <v>111</v>
      </c>
      <c r="C224" s="28">
        <v>14943</v>
      </c>
    </row>
    <row r="225" spans="1:3" x14ac:dyDescent="0.2">
      <c r="A225" s="17"/>
      <c r="B225" s="18" t="s">
        <v>112</v>
      </c>
      <c r="C225" s="28">
        <v>25439</v>
      </c>
    </row>
    <row r="226" spans="1:3" x14ac:dyDescent="0.2">
      <c r="A226" s="17"/>
      <c r="B226" s="18" t="s">
        <v>113</v>
      </c>
      <c r="C226" s="28">
        <v>28330</v>
      </c>
    </row>
    <row r="227" spans="1:3" x14ac:dyDescent="0.2">
      <c r="A227" s="17"/>
      <c r="B227" s="18" t="s">
        <v>114</v>
      </c>
      <c r="C227" s="28">
        <v>27349</v>
      </c>
    </row>
    <row r="228" spans="1:3" x14ac:dyDescent="0.2">
      <c r="A228" s="17"/>
      <c r="B228" s="18" t="s">
        <v>115</v>
      </c>
      <c r="C228" s="28">
        <v>15526</v>
      </c>
    </row>
    <row r="229" spans="1:3" x14ac:dyDescent="0.2">
      <c r="A229" s="17"/>
      <c r="B229" s="18" t="s">
        <v>116</v>
      </c>
      <c r="C229" s="28">
        <v>13165</v>
      </c>
    </row>
    <row r="230" spans="1:3" x14ac:dyDescent="0.2">
      <c r="A230" s="17"/>
      <c r="B230" s="18" t="s">
        <v>117</v>
      </c>
      <c r="C230" s="28">
        <v>7064</v>
      </c>
    </row>
    <row r="231" spans="1:3" x14ac:dyDescent="0.2">
      <c r="A231" s="17"/>
      <c r="B231" s="18" t="s">
        <v>118</v>
      </c>
      <c r="C231" s="28">
        <v>6317</v>
      </c>
    </row>
    <row r="232" spans="1:3" x14ac:dyDescent="0.2">
      <c r="A232" s="17"/>
      <c r="B232" s="18" t="s">
        <v>119</v>
      </c>
      <c r="C232" s="28">
        <v>7298</v>
      </c>
    </row>
    <row r="233" spans="1:3" x14ac:dyDescent="0.2">
      <c r="A233" s="17"/>
      <c r="B233" s="18" t="s">
        <v>120</v>
      </c>
      <c r="C233" s="28">
        <v>8414</v>
      </c>
    </row>
    <row r="234" spans="1:3" x14ac:dyDescent="0.2">
      <c r="A234" s="17"/>
      <c r="B234" s="18" t="s">
        <v>121</v>
      </c>
      <c r="C234" s="28">
        <v>8323</v>
      </c>
    </row>
    <row r="235" spans="1:3" s="3" customFormat="1" x14ac:dyDescent="0.2">
      <c r="A235" s="24" t="s">
        <v>74</v>
      </c>
      <c r="B235" s="29"/>
      <c r="C235" s="22">
        <f>SUM(C223:C234)</f>
        <v>171033</v>
      </c>
    </row>
    <row r="236" spans="1:3" x14ac:dyDescent="0.2">
      <c r="A236" s="16" t="s">
        <v>18</v>
      </c>
      <c r="B236" s="16" t="s">
        <v>110</v>
      </c>
      <c r="C236" s="27">
        <v>8316</v>
      </c>
    </row>
    <row r="237" spans="1:3" x14ac:dyDescent="0.2">
      <c r="A237" s="17"/>
      <c r="B237" s="18" t="s">
        <v>111</v>
      </c>
      <c r="C237" s="28">
        <v>9543</v>
      </c>
    </row>
    <row r="238" spans="1:3" x14ac:dyDescent="0.2">
      <c r="A238" s="17"/>
      <c r="B238" s="18" t="s">
        <v>112</v>
      </c>
      <c r="C238" s="28">
        <v>10759</v>
      </c>
    </row>
    <row r="239" spans="1:3" x14ac:dyDescent="0.2">
      <c r="A239" s="17"/>
      <c r="B239" s="18" t="s">
        <v>113</v>
      </c>
      <c r="C239" s="28">
        <v>9723</v>
      </c>
    </row>
    <row r="240" spans="1:3" x14ac:dyDescent="0.2">
      <c r="A240" s="17"/>
      <c r="B240" s="18" t="s">
        <v>114</v>
      </c>
      <c r="C240" s="28">
        <v>4239</v>
      </c>
    </row>
    <row r="241" spans="1:3" x14ac:dyDescent="0.2">
      <c r="A241" s="17"/>
      <c r="B241" s="18" t="s">
        <v>115</v>
      </c>
      <c r="C241" s="28">
        <v>4572</v>
      </c>
    </row>
    <row r="242" spans="1:3" x14ac:dyDescent="0.2">
      <c r="A242" s="17"/>
      <c r="B242" s="18" t="s">
        <v>116</v>
      </c>
      <c r="C242" s="28">
        <v>3088</v>
      </c>
    </row>
    <row r="243" spans="1:3" x14ac:dyDescent="0.2">
      <c r="A243" s="17"/>
      <c r="B243" s="18" t="s">
        <v>117</v>
      </c>
      <c r="C243" s="28">
        <v>3221</v>
      </c>
    </row>
    <row r="244" spans="1:3" x14ac:dyDescent="0.2">
      <c r="A244" s="17"/>
      <c r="B244" s="18" t="s">
        <v>118</v>
      </c>
      <c r="C244" s="28">
        <v>3545</v>
      </c>
    </row>
    <row r="245" spans="1:3" x14ac:dyDescent="0.2">
      <c r="A245" s="17"/>
      <c r="B245" s="18" t="s">
        <v>119</v>
      </c>
      <c r="C245" s="28">
        <v>3701</v>
      </c>
    </row>
    <row r="246" spans="1:3" x14ac:dyDescent="0.2">
      <c r="A246" s="17"/>
      <c r="B246" s="18" t="s">
        <v>120</v>
      </c>
      <c r="C246" s="28">
        <v>3060</v>
      </c>
    </row>
    <row r="247" spans="1:3" x14ac:dyDescent="0.2">
      <c r="A247" s="17"/>
      <c r="B247" s="18" t="s">
        <v>121</v>
      </c>
      <c r="C247" s="28">
        <v>5971</v>
      </c>
    </row>
    <row r="248" spans="1:3" s="3" customFormat="1" x14ac:dyDescent="0.2">
      <c r="A248" s="24" t="s">
        <v>75</v>
      </c>
      <c r="B248" s="29"/>
      <c r="C248" s="22">
        <f>SUM(C236:C247)</f>
        <v>69738</v>
      </c>
    </row>
    <row r="249" spans="1:3" x14ac:dyDescent="0.2">
      <c r="A249" s="16" t="s">
        <v>19</v>
      </c>
      <c r="B249" s="16" t="s">
        <v>110</v>
      </c>
      <c r="C249" s="27">
        <v>33756</v>
      </c>
    </row>
    <row r="250" spans="1:3" x14ac:dyDescent="0.2">
      <c r="A250" s="17"/>
      <c r="B250" s="18" t="s">
        <v>111</v>
      </c>
      <c r="C250" s="28">
        <v>26129</v>
      </c>
    </row>
    <row r="251" spans="1:3" x14ac:dyDescent="0.2">
      <c r="A251" s="17"/>
      <c r="B251" s="18" t="s">
        <v>112</v>
      </c>
      <c r="C251" s="28">
        <v>25332</v>
      </c>
    </row>
    <row r="252" spans="1:3" x14ac:dyDescent="0.2">
      <c r="A252" s="17"/>
      <c r="B252" s="18" t="s">
        <v>113</v>
      </c>
      <c r="C252" s="28">
        <v>23019</v>
      </c>
    </row>
    <row r="253" spans="1:3" x14ac:dyDescent="0.2">
      <c r="A253" s="17"/>
      <c r="B253" s="18" t="s">
        <v>114</v>
      </c>
      <c r="C253" s="28">
        <v>22399</v>
      </c>
    </row>
    <row r="254" spans="1:3" x14ac:dyDescent="0.2">
      <c r="A254" s="17"/>
      <c r="B254" s="18" t="s">
        <v>115</v>
      </c>
      <c r="C254" s="28">
        <v>20211</v>
      </c>
    </row>
    <row r="255" spans="1:3" x14ac:dyDescent="0.2">
      <c r="A255" s="17"/>
      <c r="B255" s="18" t="s">
        <v>116</v>
      </c>
      <c r="C255" s="28">
        <v>18351</v>
      </c>
    </row>
    <row r="256" spans="1:3" x14ac:dyDescent="0.2">
      <c r="A256" s="17"/>
      <c r="B256" s="18" t="s">
        <v>117</v>
      </c>
      <c r="C256" s="28">
        <v>19636</v>
      </c>
    </row>
    <row r="257" spans="1:7" x14ac:dyDescent="0.2">
      <c r="A257" s="17"/>
      <c r="B257" s="18" t="s">
        <v>118</v>
      </c>
      <c r="C257" s="28">
        <v>20432</v>
      </c>
    </row>
    <row r="258" spans="1:7" x14ac:dyDescent="0.2">
      <c r="A258" s="17"/>
      <c r="B258" s="18" t="s">
        <v>119</v>
      </c>
      <c r="C258" s="28">
        <v>23763</v>
      </c>
    </row>
    <row r="259" spans="1:7" x14ac:dyDescent="0.2">
      <c r="A259" s="17"/>
      <c r="B259" s="18" t="s">
        <v>120</v>
      </c>
      <c r="C259" s="28">
        <v>24578</v>
      </c>
    </row>
    <row r="260" spans="1:7" x14ac:dyDescent="0.2">
      <c r="A260" s="17"/>
      <c r="B260" s="18" t="s">
        <v>121</v>
      </c>
      <c r="C260" s="21">
        <v>22725</v>
      </c>
      <c r="E260" s="21"/>
      <c r="F260" s="21"/>
      <c r="G260" s="21">
        <v>10118</v>
      </c>
    </row>
    <row r="261" spans="1:7" s="3" customFormat="1" x14ac:dyDescent="0.2">
      <c r="A261" s="24" t="s">
        <v>76</v>
      </c>
      <c r="B261" s="29"/>
      <c r="C261" s="22">
        <f>SUM(C249:C260)</f>
        <v>280331</v>
      </c>
    </row>
    <row r="262" spans="1:7" x14ac:dyDescent="0.2">
      <c r="A262" s="16" t="s">
        <v>20</v>
      </c>
      <c r="B262" s="16" t="s">
        <v>110</v>
      </c>
      <c r="C262" s="27">
        <v>13356</v>
      </c>
    </row>
    <row r="263" spans="1:7" x14ac:dyDescent="0.2">
      <c r="A263" s="17"/>
      <c r="B263" s="18" t="s">
        <v>111</v>
      </c>
      <c r="C263" s="28">
        <v>11477</v>
      </c>
    </row>
    <row r="264" spans="1:7" x14ac:dyDescent="0.2">
      <c r="A264" s="17"/>
      <c r="B264" s="18" t="s">
        <v>112</v>
      </c>
      <c r="C264" s="28">
        <v>12994</v>
      </c>
    </row>
    <row r="265" spans="1:7" x14ac:dyDescent="0.2">
      <c r="A265" s="17"/>
      <c r="B265" s="18" t="s">
        <v>113</v>
      </c>
      <c r="C265" s="28">
        <v>14150</v>
      </c>
    </row>
    <row r="266" spans="1:7" x14ac:dyDescent="0.2">
      <c r="A266" s="17"/>
      <c r="B266" s="18" t="s">
        <v>114</v>
      </c>
      <c r="C266" s="28">
        <v>14173</v>
      </c>
    </row>
    <row r="267" spans="1:7" x14ac:dyDescent="0.2">
      <c r="A267" s="17"/>
      <c r="B267" s="18" t="s">
        <v>115</v>
      </c>
      <c r="C267" s="28">
        <v>16914</v>
      </c>
    </row>
    <row r="268" spans="1:7" x14ac:dyDescent="0.2">
      <c r="A268" s="17"/>
      <c r="B268" s="18" t="s">
        <v>116</v>
      </c>
      <c r="C268" s="28">
        <v>17199</v>
      </c>
    </row>
    <row r="269" spans="1:7" x14ac:dyDescent="0.2">
      <c r="A269" s="17"/>
      <c r="B269" s="18" t="s">
        <v>117</v>
      </c>
      <c r="C269" s="28">
        <v>20298</v>
      </c>
    </row>
    <row r="270" spans="1:7" x14ac:dyDescent="0.2">
      <c r="A270" s="17"/>
      <c r="B270" s="18" t="s">
        <v>118</v>
      </c>
      <c r="C270" s="28">
        <v>23231</v>
      </c>
    </row>
    <row r="271" spans="1:7" x14ac:dyDescent="0.2">
      <c r="A271" s="17"/>
      <c r="B271" s="18" t="s">
        <v>119</v>
      </c>
      <c r="C271" s="28">
        <v>26229</v>
      </c>
    </row>
    <row r="272" spans="1:7" x14ac:dyDescent="0.2">
      <c r="A272" s="17"/>
      <c r="B272" s="18" t="s">
        <v>120</v>
      </c>
      <c r="C272" s="28">
        <v>18461</v>
      </c>
    </row>
    <row r="273" spans="1:3" x14ac:dyDescent="0.2">
      <c r="A273" s="17"/>
      <c r="B273" s="18" t="s">
        <v>121</v>
      </c>
      <c r="C273" s="28">
        <v>7256</v>
      </c>
    </row>
    <row r="274" spans="1:3" s="3" customFormat="1" x14ac:dyDescent="0.2">
      <c r="A274" s="24" t="s">
        <v>77</v>
      </c>
      <c r="B274" s="29"/>
      <c r="C274" s="22">
        <f>SUM(C262:C273)</f>
        <v>195738</v>
      </c>
    </row>
    <row r="275" spans="1:3" x14ac:dyDescent="0.2">
      <c r="A275" s="16" t="s">
        <v>21</v>
      </c>
      <c r="B275" s="16" t="s">
        <v>110</v>
      </c>
      <c r="C275" s="27">
        <v>1752</v>
      </c>
    </row>
    <row r="276" spans="1:3" x14ac:dyDescent="0.2">
      <c r="A276" s="17"/>
      <c r="B276" s="18" t="s">
        <v>111</v>
      </c>
      <c r="C276" s="28">
        <v>7059</v>
      </c>
    </row>
    <row r="277" spans="1:3" x14ac:dyDescent="0.2">
      <c r="A277" s="17"/>
      <c r="B277" s="18" t="s">
        <v>112</v>
      </c>
      <c r="C277" s="28">
        <v>5845</v>
      </c>
    </row>
    <row r="278" spans="1:3" x14ac:dyDescent="0.2">
      <c r="A278" s="17"/>
      <c r="B278" s="18" t="s">
        <v>113</v>
      </c>
      <c r="C278" s="28">
        <v>6483</v>
      </c>
    </row>
    <row r="279" spans="1:3" x14ac:dyDescent="0.2">
      <c r="A279" s="17"/>
      <c r="B279" s="18" t="s">
        <v>114</v>
      </c>
      <c r="C279" s="28">
        <v>9718</v>
      </c>
    </row>
    <row r="280" spans="1:3" x14ac:dyDescent="0.2">
      <c r="A280" s="17"/>
      <c r="B280" s="18" t="s">
        <v>115</v>
      </c>
      <c r="C280" s="28">
        <v>7267</v>
      </c>
    </row>
    <row r="281" spans="1:3" x14ac:dyDescent="0.2">
      <c r="A281" s="17"/>
      <c r="B281" s="18" t="s">
        <v>116</v>
      </c>
      <c r="C281" s="28">
        <v>6811</v>
      </c>
    </row>
    <row r="282" spans="1:3" x14ac:dyDescent="0.2">
      <c r="A282" s="17"/>
      <c r="B282" s="18" t="s">
        <v>117</v>
      </c>
      <c r="C282" s="28">
        <v>7208</v>
      </c>
    </row>
    <row r="283" spans="1:3" x14ac:dyDescent="0.2">
      <c r="A283" s="17"/>
      <c r="B283" s="18" t="s">
        <v>118</v>
      </c>
      <c r="C283" s="28">
        <v>8433</v>
      </c>
    </row>
    <row r="284" spans="1:3" x14ac:dyDescent="0.2">
      <c r="A284" s="17"/>
      <c r="B284" s="18" t="s">
        <v>119</v>
      </c>
      <c r="C284" s="28">
        <v>8346</v>
      </c>
    </row>
    <row r="285" spans="1:3" x14ac:dyDescent="0.2">
      <c r="A285" s="17"/>
      <c r="B285" s="18" t="s">
        <v>120</v>
      </c>
      <c r="C285" s="28">
        <v>5872</v>
      </c>
    </row>
    <row r="286" spans="1:3" x14ac:dyDescent="0.2">
      <c r="A286" s="17"/>
      <c r="B286" s="18" t="s">
        <v>121</v>
      </c>
      <c r="C286" s="28">
        <v>2296</v>
      </c>
    </row>
    <row r="287" spans="1:3" s="3" customFormat="1" x14ac:dyDescent="0.2">
      <c r="A287" s="24" t="s">
        <v>78</v>
      </c>
      <c r="B287" s="29"/>
      <c r="C287" s="22">
        <f>SUM(C275:C286)</f>
        <v>77090</v>
      </c>
    </row>
    <row r="288" spans="1:3" x14ac:dyDescent="0.2">
      <c r="A288" s="16" t="s">
        <v>22</v>
      </c>
      <c r="B288" s="16" t="s">
        <v>110</v>
      </c>
      <c r="C288" s="27">
        <v>14168</v>
      </c>
    </row>
    <row r="289" spans="1:3" x14ac:dyDescent="0.2">
      <c r="A289" s="17"/>
      <c r="B289" s="18" t="s">
        <v>111</v>
      </c>
      <c r="C289" s="28">
        <v>21632</v>
      </c>
    </row>
    <row r="290" spans="1:3" x14ac:dyDescent="0.2">
      <c r="A290" s="17"/>
      <c r="B290" s="18" t="s">
        <v>112</v>
      </c>
      <c r="C290" s="28">
        <v>37852</v>
      </c>
    </row>
    <row r="291" spans="1:3" x14ac:dyDescent="0.2">
      <c r="A291" s="17"/>
      <c r="B291" s="18" t="s">
        <v>113</v>
      </c>
      <c r="C291" s="28">
        <v>26016</v>
      </c>
    </row>
    <row r="292" spans="1:3" x14ac:dyDescent="0.2">
      <c r="A292" s="17"/>
      <c r="B292" s="18" t="s">
        <v>114</v>
      </c>
      <c r="C292" s="28">
        <v>39827</v>
      </c>
    </row>
    <row r="293" spans="1:3" x14ac:dyDescent="0.2">
      <c r="A293" s="17"/>
      <c r="B293" s="18" t="s">
        <v>115</v>
      </c>
      <c r="C293" s="28">
        <v>19385</v>
      </c>
    </row>
    <row r="294" spans="1:3" x14ac:dyDescent="0.2">
      <c r="A294" s="17"/>
      <c r="B294" s="18" t="s">
        <v>116</v>
      </c>
      <c r="C294" s="28">
        <v>13770</v>
      </c>
    </row>
    <row r="295" spans="1:3" x14ac:dyDescent="0.2">
      <c r="A295" s="17"/>
      <c r="B295" s="18" t="s">
        <v>117</v>
      </c>
      <c r="C295" s="28">
        <v>9053</v>
      </c>
    </row>
    <row r="296" spans="1:3" x14ac:dyDescent="0.2">
      <c r="A296" s="17"/>
      <c r="B296" s="18" t="s">
        <v>118</v>
      </c>
      <c r="C296" s="28">
        <v>9315</v>
      </c>
    </row>
    <row r="297" spans="1:3" x14ac:dyDescent="0.2">
      <c r="A297" s="17"/>
      <c r="B297" s="18" t="s">
        <v>119</v>
      </c>
      <c r="C297" s="28">
        <v>11559</v>
      </c>
    </row>
    <row r="298" spans="1:3" x14ac:dyDescent="0.2">
      <c r="A298" s="17"/>
      <c r="B298" s="18" t="s">
        <v>120</v>
      </c>
      <c r="C298" s="28">
        <v>10589</v>
      </c>
    </row>
    <row r="299" spans="1:3" x14ac:dyDescent="0.2">
      <c r="A299" s="17"/>
      <c r="B299" s="18" t="s">
        <v>121</v>
      </c>
      <c r="C299" s="28">
        <v>22654</v>
      </c>
    </row>
    <row r="300" spans="1:3" s="3" customFormat="1" x14ac:dyDescent="0.2">
      <c r="A300" s="24" t="s">
        <v>79</v>
      </c>
      <c r="B300" s="29"/>
      <c r="C300" s="22">
        <f>SUM(C288:C299)</f>
        <v>235820</v>
      </c>
    </row>
    <row r="301" spans="1:3" x14ac:dyDescent="0.2">
      <c r="A301" s="16" t="s">
        <v>23</v>
      </c>
      <c r="B301" s="16" t="s">
        <v>110</v>
      </c>
      <c r="C301" s="27">
        <v>12528</v>
      </c>
    </row>
    <row r="302" spans="1:3" x14ac:dyDescent="0.2">
      <c r="A302" s="17"/>
      <c r="B302" s="18" t="s">
        <v>111</v>
      </c>
      <c r="C302" s="28">
        <v>5524</v>
      </c>
    </row>
    <row r="303" spans="1:3" x14ac:dyDescent="0.2">
      <c r="A303" s="17"/>
      <c r="B303" s="18" t="s">
        <v>112</v>
      </c>
      <c r="C303" s="28">
        <v>4335</v>
      </c>
    </row>
    <row r="304" spans="1:3" x14ac:dyDescent="0.2">
      <c r="A304" s="17"/>
      <c r="B304" s="18" t="s">
        <v>113</v>
      </c>
      <c r="C304" s="28">
        <v>4656</v>
      </c>
    </row>
    <row r="305" spans="1:3" x14ac:dyDescent="0.2">
      <c r="A305" s="17"/>
      <c r="B305" s="18" t="s">
        <v>114</v>
      </c>
      <c r="C305" s="28">
        <v>3995</v>
      </c>
    </row>
    <row r="306" spans="1:3" x14ac:dyDescent="0.2">
      <c r="A306" s="17"/>
      <c r="B306" s="18" t="s">
        <v>115</v>
      </c>
      <c r="C306" s="28">
        <v>2609</v>
      </c>
    </row>
    <row r="307" spans="1:3" x14ac:dyDescent="0.2">
      <c r="A307" s="17"/>
      <c r="B307" s="18" t="s">
        <v>116</v>
      </c>
      <c r="C307" s="28">
        <v>1786</v>
      </c>
    </row>
    <row r="308" spans="1:3" x14ac:dyDescent="0.2">
      <c r="A308" s="17"/>
      <c r="B308" s="18" t="s">
        <v>117</v>
      </c>
      <c r="C308" s="28">
        <v>1615</v>
      </c>
    </row>
    <row r="309" spans="1:3" x14ac:dyDescent="0.2">
      <c r="A309" s="17"/>
      <c r="B309" s="18" t="s">
        <v>118</v>
      </c>
      <c r="C309" s="28">
        <v>2532</v>
      </c>
    </row>
    <row r="310" spans="1:3" x14ac:dyDescent="0.2">
      <c r="A310" s="17"/>
      <c r="B310" s="18" t="s">
        <v>119</v>
      </c>
      <c r="C310" s="28">
        <v>5238</v>
      </c>
    </row>
    <row r="311" spans="1:3" x14ac:dyDescent="0.2">
      <c r="A311" s="17"/>
      <c r="B311" s="18" t="s">
        <v>120</v>
      </c>
      <c r="C311" s="28">
        <v>8242</v>
      </c>
    </row>
    <row r="312" spans="1:3" x14ac:dyDescent="0.2">
      <c r="A312" s="17"/>
      <c r="B312" s="18" t="s">
        <v>121</v>
      </c>
      <c r="C312" s="28">
        <v>14527</v>
      </c>
    </row>
    <row r="313" spans="1:3" s="3" customFormat="1" x14ac:dyDescent="0.2">
      <c r="A313" s="24" t="s">
        <v>80</v>
      </c>
      <c r="B313" s="29"/>
      <c r="C313" s="22">
        <f>SUM(C301:C312)</f>
        <v>67587</v>
      </c>
    </row>
    <row r="314" spans="1:3" x14ac:dyDescent="0.2">
      <c r="A314" s="16" t="s">
        <v>24</v>
      </c>
      <c r="B314" s="16" t="s">
        <v>110</v>
      </c>
      <c r="C314" s="27">
        <v>4678</v>
      </c>
    </row>
    <row r="315" spans="1:3" x14ac:dyDescent="0.2">
      <c r="A315" s="17"/>
      <c r="B315" s="18" t="s">
        <v>111</v>
      </c>
      <c r="C315" s="28">
        <v>5224</v>
      </c>
    </row>
    <row r="316" spans="1:3" x14ac:dyDescent="0.2">
      <c r="A316" s="17"/>
      <c r="B316" s="18" t="s">
        <v>112</v>
      </c>
      <c r="C316" s="28">
        <v>7637</v>
      </c>
    </row>
    <row r="317" spans="1:3" x14ac:dyDescent="0.2">
      <c r="A317" s="17"/>
      <c r="B317" s="18" t="s">
        <v>113</v>
      </c>
      <c r="C317" s="28">
        <v>7185</v>
      </c>
    </row>
    <row r="318" spans="1:3" x14ac:dyDescent="0.2">
      <c r="A318" s="17"/>
      <c r="B318" s="18" t="s">
        <v>114</v>
      </c>
      <c r="C318" s="28">
        <v>11426</v>
      </c>
    </row>
    <row r="319" spans="1:3" x14ac:dyDescent="0.2">
      <c r="A319" s="17"/>
      <c r="B319" s="18" t="s">
        <v>115</v>
      </c>
      <c r="C319" s="28">
        <v>5202</v>
      </c>
    </row>
    <row r="320" spans="1:3" x14ac:dyDescent="0.2">
      <c r="A320" s="17"/>
      <c r="B320" s="18" t="s">
        <v>116</v>
      </c>
      <c r="C320" s="28">
        <v>3126</v>
      </c>
    </row>
    <row r="321" spans="1:3" x14ac:dyDescent="0.2">
      <c r="A321" s="17"/>
      <c r="B321" s="18" t="s">
        <v>117</v>
      </c>
      <c r="C321" s="28">
        <v>2807</v>
      </c>
    </row>
    <row r="322" spans="1:3" x14ac:dyDescent="0.2">
      <c r="A322" s="17"/>
      <c r="B322" s="18" t="s">
        <v>118</v>
      </c>
      <c r="C322" s="28">
        <v>2632</v>
      </c>
    </row>
    <row r="323" spans="1:3" x14ac:dyDescent="0.2">
      <c r="A323" s="17"/>
      <c r="B323" s="18" t="s">
        <v>119</v>
      </c>
      <c r="C323" s="28">
        <v>2732</v>
      </c>
    </row>
    <row r="324" spans="1:3" x14ac:dyDescent="0.2">
      <c r="A324" s="17"/>
      <c r="B324" s="18" t="s">
        <v>120</v>
      </c>
      <c r="C324" s="28">
        <v>2943</v>
      </c>
    </row>
    <row r="325" spans="1:3" x14ac:dyDescent="0.2">
      <c r="A325" s="17"/>
      <c r="B325" s="18" t="s">
        <v>121</v>
      </c>
      <c r="C325" s="28">
        <v>5766</v>
      </c>
    </row>
    <row r="326" spans="1:3" s="3" customFormat="1" x14ac:dyDescent="0.2">
      <c r="A326" s="24" t="s">
        <v>81</v>
      </c>
      <c r="B326" s="29"/>
      <c r="C326" s="22">
        <f>SUM(C314:C325)</f>
        <v>61358</v>
      </c>
    </row>
    <row r="327" spans="1:3" x14ac:dyDescent="0.2">
      <c r="A327" s="16" t="s">
        <v>25</v>
      </c>
      <c r="B327" s="16" t="s">
        <v>110</v>
      </c>
      <c r="C327" s="27">
        <v>8195</v>
      </c>
    </row>
    <row r="328" spans="1:3" x14ac:dyDescent="0.2">
      <c r="A328" s="17"/>
      <c r="B328" s="18" t="s">
        <v>111</v>
      </c>
      <c r="C328" s="28">
        <v>4805</v>
      </c>
    </row>
    <row r="329" spans="1:3" x14ac:dyDescent="0.2">
      <c r="A329" s="17"/>
      <c r="B329" s="18" t="s">
        <v>112</v>
      </c>
      <c r="C329" s="28">
        <v>4126</v>
      </c>
    </row>
    <row r="330" spans="1:3" x14ac:dyDescent="0.2">
      <c r="A330" s="17"/>
      <c r="B330" s="18" t="s">
        <v>113</v>
      </c>
      <c r="C330" s="28">
        <v>4612</v>
      </c>
    </row>
    <row r="331" spans="1:3" x14ac:dyDescent="0.2">
      <c r="A331" s="17"/>
      <c r="B331" s="18" t="s">
        <v>114</v>
      </c>
      <c r="C331" s="28">
        <v>5640</v>
      </c>
    </row>
    <row r="332" spans="1:3" x14ac:dyDescent="0.2">
      <c r="A332" s="17"/>
      <c r="B332" s="18" t="s">
        <v>115</v>
      </c>
      <c r="C332" s="28">
        <v>1147</v>
      </c>
    </row>
    <row r="333" spans="1:3" x14ac:dyDescent="0.2">
      <c r="A333" s="17"/>
      <c r="B333" s="18" t="s">
        <v>116</v>
      </c>
      <c r="C333" s="28">
        <v>1688</v>
      </c>
    </row>
    <row r="334" spans="1:3" x14ac:dyDescent="0.2">
      <c r="A334" s="17"/>
      <c r="B334" s="18" t="s">
        <v>117</v>
      </c>
      <c r="C334" s="28">
        <v>1305</v>
      </c>
    </row>
    <row r="335" spans="1:3" x14ac:dyDescent="0.2">
      <c r="A335" s="17"/>
      <c r="B335" s="18" t="s">
        <v>118</v>
      </c>
      <c r="C335" s="28">
        <v>1176</v>
      </c>
    </row>
    <row r="336" spans="1:3" x14ac:dyDescent="0.2">
      <c r="A336" s="17"/>
      <c r="B336" s="18" t="s">
        <v>119</v>
      </c>
      <c r="C336" s="28">
        <v>1635</v>
      </c>
    </row>
    <row r="337" spans="1:3" x14ac:dyDescent="0.2">
      <c r="A337" s="17"/>
      <c r="B337" s="18" t="s">
        <v>120</v>
      </c>
      <c r="C337" s="28">
        <v>1931</v>
      </c>
    </row>
    <row r="338" spans="1:3" x14ac:dyDescent="0.2">
      <c r="A338" s="17"/>
      <c r="B338" s="18" t="s">
        <v>121</v>
      </c>
      <c r="C338" s="28">
        <v>3886</v>
      </c>
    </row>
    <row r="339" spans="1:3" s="3" customFormat="1" x14ac:dyDescent="0.2">
      <c r="A339" s="24" t="s">
        <v>82</v>
      </c>
      <c r="B339" s="29"/>
      <c r="C339" s="22">
        <f>SUM(C327:C338)</f>
        <v>40146</v>
      </c>
    </row>
    <row r="340" spans="1:3" x14ac:dyDescent="0.2">
      <c r="A340" s="16" t="s">
        <v>26</v>
      </c>
      <c r="B340" s="16" t="s">
        <v>110</v>
      </c>
      <c r="C340" s="27">
        <v>18846</v>
      </c>
    </row>
    <row r="341" spans="1:3" x14ac:dyDescent="0.2">
      <c r="A341" s="17"/>
      <c r="B341" s="18" t="s">
        <v>111</v>
      </c>
      <c r="C341" s="28">
        <v>15053</v>
      </c>
    </row>
    <row r="342" spans="1:3" x14ac:dyDescent="0.2">
      <c r="A342" s="17"/>
      <c r="B342" s="18" t="s">
        <v>112</v>
      </c>
      <c r="C342" s="28">
        <v>13114</v>
      </c>
    </row>
    <row r="343" spans="1:3" x14ac:dyDescent="0.2">
      <c r="A343" s="17"/>
      <c r="B343" s="18" t="s">
        <v>113</v>
      </c>
      <c r="C343" s="28">
        <v>11580</v>
      </c>
    </row>
    <row r="344" spans="1:3" x14ac:dyDescent="0.2">
      <c r="A344" s="17"/>
      <c r="B344" s="18" t="s">
        <v>114</v>
      </c>
      <c r="C344" s="28">
        <v>9945</v>
      </c>
    </row>
    <row r="345" spans="1:3" x14ac:dyDescent="0.2">
      <c r="A345" s="17"/>
      <c r="B345" s="18" t="s">
        <v>115</v>
      </c>
      <c r="C345" s="28">
        <v>7018</v>
      </c>
    </row>
    <row r="346" spans="1:3" x14ac:dyDescent="0.2">
      <c r="A346" s="17"/>
      <c r="B346" s="18" t="s">
        <v>116</v>
      </c>
      <c r="C346" s="28">
        <v>5553</v>
      </c>
    </row>
    <row r="347" spans="1:3" x14ac:dyDescent="0.2">
      <c r="A347" s="17"/>
      <c r="B347" s="18" t="s">
        <v>117</v>
      </c>
      <c r="C347" s="28">
        <v>6326</v>
      </c>
    </row>
    <row r="348" spans="1:3" x14ac:dyDescent="0.2">
      <c r="A348" s="17"/>
      <c r="B348" s="18" t="s">
        <v>118</v>
      </c>
      <c r="C348" s="28">
        <v>8045</v>
      </c>
    </row>
    <row r="349" spans="1:3" x14ac:dyDescent="0.2">
      <c r="A349" s="17"/>
      <c r="B349" s="18" t="s">
        <v>119</v>
      </c>
      <c r="C349" s="28">
        <v>9396</v>
      </c>
    </row>
    <row r="350" spans="1:3" x14ac:dyDescent="0.2">
      <c r="A350" s="17"/>
      <c r="B350" s="18" t="s">
        <v>120</v>
      </c>
      <c r="C350" s="28">
        <v>6603</v>
      </c>
    </row>
    <row r="351" spans="1:3" x14ac:dyDescent="0.2">
      <c r="A351" s="17"/>
      <c r="B351" s="18" t="s">
        <v>121</v>
      </c>
      <c r="C351" s="28">
        <v>11777</v>
      </c>
    </row>
    <row r="352" spans="1:3" s="3" customFormat="1" x14ac:dyDescent="0.2">
      <c r="A352" s="24" t="s">
        <v>83</v>
      </c>
      <c r="B352" s="29"/>
      <c r="C352" s="22">
        <f>SUM(C340:C351)</f>
        <v>123256</v>
      </c>
    </row>
    <row r="353" spans="1:3" x14ac:dyDescent="0.2">
      <c r="A353" s="16" t="s">
        <v>27</v>
      </c>
      <c r="B353" s="16" t="s">
        <v>110</v>
      </c>
      <c r="C353" s="27">
        <v>12951</v>
      </c>
    </row>
    <row r="354" spans="1:3" x14ac:dyDescent="0.2">
      <c r="A354" s="17"/>
      <c r="B354" s="18" t="s">
        <v>111</v>
      </c>
      <c r="C354" s="28">
        <v>10202</v>
      </c>
    </row>
    <row r="355" spans="1:3" x14ac:dyDescent="0.2">
      <c r="A355" s="17"/>
      <c r="B355" s="18" t="s">
        <v>112</v>
      </c>
      <c r="C355" s="28">
        <v>9592</v>
      </c>
    </row>
    <row r="356" spans="1:3" x14ac:dyDescent="0.2">
      <c r="A356" s="17"/>
      <c r="B356" s="18" t="s">
        <v>113</v>
      </c>
      <c r="C356" s="28">
        <v>7896</v>
      </c>
    </row>
    <row r="357" spans="1:3" x14ac:dyDescent="0.2">
      <c r="A357" s="17"/>
      <c r="B357" s="18" t="s">
        <v>114</v>
      </c>
      <c r="C357" s="28">
        <v>10040</v>
      </c>
    </row>
    <row r="358" spans="1:3" x14ac:dyDescent="0.2">
      <c r="A358" s="17"/>
      <c r="B358" s="18" t="s">
        <v>115</v>
      </c>
      <c r="C358" s="28">
        <v>5041</v>
      </c>
    </row>
    <row r="359" spans="1:3" x14ac:dyDescent="0.2">
      <c r="A359" s="17"/>
      <c r="B359" s="18" t="s">
        <v>116</v>
      </c>
      <c r="C359" s="28">
        <v>4406</v>
      </c>
    </row>
    <row r="360" spans="1:3" x14ac:dyDescent="0.2">
      <c r="A360" s="17"/>
      <c r="B360" s="18" t="s">
        <v>117</v>
      </c>
      <c r="C360" s="28">
        <v>4894</v>
      </c>
    </row>
    <row r="361" spans="1:3" x14ac:dyDescent="0.2">
      <c r="A361" s="17"/>
      <c r="B361" s="18" t="s">
        <v>118</v>
      </c>
      <c r="C361" s="28">
        <v>6009</v>
      </c>
    </row>
    <row r="362" spans="1:3" x14ac:dyDescent="0.2">
      <c r="A362" s="17"/>
      <c r="B362" s="18" t="s">
        <v>119</v>
      </c>
      <c r="C362" s="28">
        <v>7881</v>
      </c>
    </row>
    <row r="363" spans="1:3" x14ac:dyDescent="0.2">
      <c r="A363" s="17"/>
      <c r="B363" s="18" t="s">
        <v>120</v>
      </c>
      <c r="C363" s="28">
        <v>6694</v>
      </c>
    </row>
    <row r="364" spans="1:3" x14ac:dyDescent="0.2">
      <c r="A364" s="17"/>
      <c r="B364" s="18" t="s">
        <v>121</v>
      </c>
      <c r="C364" s="28">
        <v>17771</v>
      </c>
    </row>
    <row r="365" spans="1:3" s="3" customFormat="1" x14ac:dyDescent="0.2">
      <c r="A365" s="24" t="s">
        <v>84</v>
      </c>
      <c r="B365" s="29"/>
      <c r="C365" s="22">
        <f>SUM(C353:C364)</f>
        <v>103377</v>
      </c>
    </row>
    <row r="366" spans="1:3" x14ac:dyDescent="0.2">
      <c r="A366" s="16" t="s">
        <v>28</v>
      </c>
      <c r="B366" s="16" t="s">
        <v>110</v>
      </c>
      <c r="C366" s="27">
        <v>40436</v>
      </c>
    </row>
    <row r="367" spans="1:3" x14ac:dyDescent="0.2">
      <c r="A367" s="17"/>
      <c r="B367" s="18" t="s">
        <v>111</v>
      </c>
      <c r="C367" s="28">
        <v>27235</v>
      </c>
    </row>
    <row r="368" spans="1:3" x14ac:dyDescent="0.2">
      <c r="A368" s="17"/>
      <c r="B368" s="18" t="s">
        <v>112</v>
      </c>
      <c r="C368" s="28">
        <v>32755</v>
      </c>
    </row>
    <row r="369" spans="1:3" x14ac:dyDescent="0.2">
      <c r="A369" s="17"/>
      <c r="B369" s="18" t="s">
        <v>113</v>
      </c>
      <c r="C369" s="28">
        <v>35070</v>
      </c>
    </row>
    <row r="370" spans="1:3" x14ac:dyDescent="0.2">
      <c r="A370" s="17"/>
      <c r="B370" s="18" t="s">
        <v>114</v>
      </c>
      <c r="C370" s="28">
        <v>47956</v>
      </c>
    </row>
    <row r="371" spans="1:3" x14ac:dyDescent="0.2">
      <c r="A371" s="17"/>
      <c r="B371" s="18" t="s">
        <v>115</v>
      </c>
      <c r="C371" s="28">
        <v>27466</v>
      </c>
    </row>
    <row r="372" spans="1:3" x14ac:dyDescent="0.2">
      <c r="A372" s="17"/>
      <c r="B372" s="18" t="s">
        <v>116</v>
      </c>
      <c r="C372" s="28">
        <v>18756</v>
      </c>
    </row>
    <row r="373" spans="1:3" x14ac:dyDescent="0.2">
      <c r="A373" s="17"/>
      <c r="B373" s="18" t="s">
        <v>117</v>
      </c>
      <c r="C373" s="28">
        <v>14346</v>
      </c>
    </row>
    <row r="374" spans="1:3" x14ac:dyDescent="0.2">
      <c r="A374" s="17"/>
      <c r="B374" s="18" t="s">
        <v>118</v>
      </c>
      <c r="C374" s="28">
        <v>15094</v>
      </c>
    </row>
    <row r="375" spans="1:3" x14ac:dyDescent="0.2">
      <c r="A375" s="17"/>
      <c r="B375" s="18" t="s">
        <v>119</v>
      </c>
      <c r="C375" s="28">
        <v>15576</v>
      </c>
    </row>
    <row r="376" spans="1:3" x14ac:dyDescent="0.2">
      <c r="A376" s="17"/>
      <c r="B376" s="18" t="s">
        <v>120</v>
      </c>
      <c r="C376" s="28">
        <v>14326</v>
      </c>
    </row>
    <row r="377" spans="1:3" x14ac:dyDescent="0.2">
      <c r="A377" s="17"/>
      <c r="B377" s="18" t="s">
        <v>121</v>
      </c>
      <c r="C377" s="28">
        <v>23941</v>
      </c>
    </row>
    <row r="378" spans="1:3" s="3" customFormat="1" x14ac:dyDescent="0.2">
      <c r="A378" s="24" t="s">
        <v>85</v>
      </c>
      <c r="B378" s="29"/>
      <c r="C378" s="22">
        <f>SUM(C366:C377)</f>
        <v>312957</v>
      </c>
    </row>
    <row r="379" spans="1:3" s="3" customFormat="1" x14ac:dyDescent="0.2">
      <c r="A379" s="24" t="s">
        <v>122</v>
      </c>
      <c r="B379" s="24" t="s">
        <v>44</v>
      </c>
      <c r="C379" s="23">
        <f>SUM(C14,C27,C40,C53,C66,C79,C92,C105,C118,C131,C144,C157,C170,C183,C196,C209,C222,C235,C248,C261,C274,C287,C300,C313,C326,C339,C352,C365,C378)</f>
        <v>5209272</v>
      </c>
    </row>
  </sheetData>
  <autoFilter ref="A1:C379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79"/>
  <sheetViews>
    <sheetView workbookViewId="0">
      <selection activeCell="D1" sqref="D1:E1048576"/>
    </sheetView>
  </sheetViews>
  <sheetFormatPr baseColWidth="10" defaultColWidth="8.83203125" defaultRowHeight="15" x14ac:dyDescent="0.2"/>
  <cols>
    <col min="1" max="1" width="19.1640625" customWidth="1"/>
    <col min="2" max="2" width="14.83203125" customWidth="1"/>
    <col min="3" max="3" width="14.5" customWidth="1"/>
  </cols>
  <sheetData>
    <row r="1" spans="1:3" x14ac:dyDescent="0.2">
      <c r="A1" s="24" t="s">
        <v>30</v>
      </c>
      <c r="B1" s="24" t="s">
        <v>43</v>
      </c>
      <c r="C1" s="20" t="s">
        <v>127</v>
      </c>
    </row>
    <row r="2" spans="1:3" x14ac:dyDescent="0.2">
      <c r="A2" t="s">
        <v>0</v>
      </c>
      <c r="B2" t="s">
        <v>126</v>
      </c>
      <c r="C2">
        <v>30160</v>
      </c>
    </row>
    <row r="3" spans="1:3" x14ac:dyDescent="0.2">
      <c r="B3" t="s">
        <v>125</v>
      </c>
      <c r="C3">
        <v>30313</v>
      </c>
    </row>
    <row r="4" spans="1:3" x14ac:dyDescent="0.2">
      <c r="B4" t="s">
        <v>129</v>
      </c>
      <c r="C4">
        <v>44515</v>
      </c>
    </row>
    <row r="5" spans="1:3" x14ac:dyDescent="0.2">
      <c r="B5" t="s">
        <v>130</v>
      </c>
      <c r="C5">
        <v>32101</v>
      </c>
    </row>
    <row r="6" spans="1:3" x14ac:dyDescent="0.2">
      <c r="B6" t="s">
        <v>131</v>
      </c>
      <c r="C6">
        <v>24028</v>
      </c>
    </row>
    <row r="7" spans="1:3" x14ac:dyDescent="0.2">
      <c r="B7" t="s">
        <v>132</v>
      </c>
      <c r="C7">
        <v>16512</v>
      </c>
    </row>
    <row r="8" spans="1:3" x14ac:dyDescent="0.2">
      <c r="B8" t="s">
        <v>133</v>
      </c>
      <c r="C8">
        <v>5897</v>
      </c>
    </row>
    <row r="9" spans="1:3" x14ac:dyDescent="0.2">
      <c r="B9" t="s">
        <v>134</v>
      </c>
      <c r="C9">
        <v>7728</v>
      </c>
    </row>
    <row r="10" spans="1:3" x14ac:dyDescent="0.2">
      <c r="B10" t="s">
        <v>135</v>
      </c>
      <c r="C10">
        <v>9563</v>
      </c>
    </row>
    <row r="11" spans="1:3" x14ac:dyDescent="0.2">
      <c r="B11" t="s">
        <v>136</v>
      </c>
      <c r="C11">
        <v>8415</v>
      </c>
    </row>
    <row r="12" spans="1:3" x14ac:dyDescent="0.2">
      <c r="B12" t="s">
        <v>137</v>
      </c>
      <c r="C12">
        <v>8146</v>
      </c>
    </row>
    <row r="13" spans="1:3" x14ac:dyDescent="0.2">
      <c r="B13" t="s">
        <v>138</v>
      </c>
      <c r="C13">
        <v>5104</v>
      </c>
    </row>
    <row r="14" spans="1:3" s="3" customFormat="1" x14ac:dyDescent="0.2">
      <c r="A14" s="3" t="s">
        <v>57</v>
      </c>
      <c r="C14" s="3">
        <v>222482</v>
      </c>
    </row>
    <row r="15" spans="1:3" x14ac:dyDescent="0.2">
      <c r="A15" t="s">
        <v>1</v>
      </c>
      <c r="B15" t="s">
        <v>126</v>
      </c>
      <c r="C15">
        <v>54320</v>
      </c>
    </row>
    <row r="16" spans="1:3" x14ac:dyDescent="0.2">
      <c r="B16" t="s">
        <v>125</v>
      </c>
      <c r="C16">
        <v>47260</v>
      </c>
    </row>
    <row r="17" spans="1:3" x14ac:dyDescent="0.2">
      <c r="B17" t="s">
        <v>129</v>
      </c>
      <c r="C17">
        <v>60131</v>
      </c>
    </row>
    <row r="18" spans="1:3" x14ac:dyDescent="0.2">
      <c r="B18" t="s">
        <v>130</v>
      </c>
      <c r="C18">
        <v>48446</v>
      </c>
    </row>
    <row r="19" spans="1:3" x14ac:dyDescent="0.2">
      <c r="B19" t="s">
        <v>131</v>
      </c>
      <c r="C19">
        <v>40790</v>
      </c>
    </row>
    <row r="20" spans="1:3" x14ac:dyDescent="0.2">
      <c r="B20" t="s">
        <v>132</v>
      </c>
      <c r="C20">
        <v>21166</v>
      </c>
    </row>
    <row r="21" spans="1:3" x14ac:dyDescent="0.2">
      <c r="B21" t="s">
        <v>133</v>
      </c>
      <c r="C21">
        <v>21233</v>
      </c>
    </row>
    <row r="22" spans="1:3" x14ac:dyDescent="0.2">
      <c r="B22" t="s">
        <v>134</v>
      </c>
      <c r="C22">
        <v>20474</v>
      </c>
    </row>
    <row r="23" spans="1:3" x14ac:dyDescent="0.2">
      <c r="B23" t="s">
        <v>135</v>
      </c>
      <c r="C23">
        <v>16670</v>
      </c>
    </row>
    <row r="24" spans="1:3" x14ac:dyDescent="0.2">
      <c r="B24" t="s">
        <v>136</v>
      </c>
      <c r="C24">
        <v>16096</v>
      </c>
    </row>
    <row r="25" spans="1:3" x14ac:dyDescent="0.2">
      <c r="B25" t="s">
        <v>137</v>
      </c>
      <c r="C25">
        <v>16482</v>
      </c>
    </row>
    <row r="26" spans="1:3" x14ac:dyDescent="0.2">
      <c r="B26" t="s">
        <v>138</v>
      </c>
      <c r="C26">
        <v>12875</v>
      </c>
    </row>
    <row r="27" spans="1:3" s="3" customFormat="1" x14ac:dyDescent="0.2">
      <c r="A27" s="3" t="s">
        <v>58</v>
      </c>
      <c r="C27" s="3">
        <v>375943</v>
      </c>
    </row>
    <row r="28" spans="1:3" x14ac:dyDescent="0.2">
      <c r="A28" t="s">
        <v>2</v>
      </c>
      <c r="B28" t="s">
        <v>126</v>
      </c>
      <c r="C28">
        <v>19645</v>
      </c>
    </row>
    <row r="29" spans="1:3" x14ac:dyDescent="0.2">
      <c r="B29" t="s">
        <v>125</v>
      </c>
      <c r="C29">
        <v>28311</v>
      </c>
    </row>
    <row r="30" spans="1:3" x14ac:dyDescent="0.2">
      <c r="B30" t="s">
        <v>129</v>
      </c>
      <c r="C30">
        <v>39669</v>
      </c>
    </row>
    <row r="31" spans="1:3" x14ac:dyDescent="0.2">
      <c r="B31" t="s">
        <v>130</v>
      </c>
      <c r="C31">
        <v>26485</v>
      </c>
    </row>
    <row r="32" spans="1:3" x14ac:dyDescent="0.2">
      <c r="B32" t="s">
        <v>131</v>
      </c>
      <c r="C32">
        <v>28624</v>
      </c>
    </row>
    <row r="33" spans="1:3" x14ac:dyDescent="0.2">
      <c r="B33" t="s">
        <v>132</v>
      </c>
      <c r="C33">
        <v>30038</v>
      </c>
    </row>
    <row r="34" spans="1:3" x14ac:dyDescent="0.2">
      <c r="B34" t="s">
        <v>133</v>
      </c>
      <c r="C34">
        <v>17757</v>
      </c>
    </row>
    <row r="35" spans="1:3" x14ac:dyDescent="0.2">
      <c r="B35" t="s">
        <v>134</v>
      </c>
      <c r="C35">
        <v>16724</v>
      </c>
    </row>
    <row r="36" spans="1:3" x14ac:dyDescent="0.2">
      <c r="B36" t="s">
        <v>135</v>
      </c>
      <c r="C36">
        <v>25102</v>
      </c>
    </row>
    <row r="37" spans="1:3" x14ac:dyDescent="0.2">
      <c r="B37" t="s">
        <v>136</v>
      </c>
      <c r="C37">
        <v>10800</v>
      </c>
    </row>
    <row r="38" spans="1:3" x14ac:dyDescent="0.2">
      <c r="B38" t="s">
        <v>137</v>
      </c>
      <c r="C38">
        <v>8728</v>
      </c>
    </row>
    <row r="39" spans="1:3" x14ac:dyDescent="0.2">
      <c r="B39" t="s">
        <v>138</v>
      </c>
      <c r="C39">
        <v>6502</v>
      </c>
    </row>
    <row r="40" spans="1:3" s="3" customFormat="1" x14ac:dyDescent="0.2">
      <c r="A40" s="3" t="s">
        <v>59</v>
      </c>
      <c r="C40" s="3">
        <v>258385</v>
      </c>
    </row>
    <row r="41" spans="1:3" x14ac:dyDescent="0.2">
      <c r="A41" t="s">
        <v>3</v>
      </c>
      <c r="B41" t="s">
        <v>126</v>
      </c>
      <c r="C41">
        <v>7661</v>
      </c>
    </row>
    <row r="42" spans="1:3" x14ac:dyDescent="0.2">
      <c r="B42" t="s">
        <v>125</v>
      </c>
      <c r="C42">
        <v>6009</v>
      </c>
    </row>
    <row r="43" spans="1:3" x14ac:dyDescent="0.2">
      <c r="B43" t="s">
        <v>129</v>
      </c>
      <c r="C43">
        <v>10344</v>
      </c>
    </row>
    <row r="44" spans="1:3" x14ac:dyDescent="0.2">
      <c r="B44" t="s">
        <v>130</v>
      </c>
      <c r="C44">
        <v>12982</v>
      </c>
    </row>
    <row r="45" spans="1:3" x14ac:dyDescent="0.2">
      <c r="B45" t="s">
        <v>131</v>
      </c>
      <c r="C45">
        <v>8365</v>
      </c>
    </row>
    <row r="46" spans="1:3" x14ac:dyDescent="0.2">
      <c r="B46" t="s">
        <v>132</v>
      </c>
      <c r="C46">
        <v>2980</v>
      </c>
    </row>
    <row r="47" spans="1:3" x14ac:dyDescent="0.2">
      <c r="B47" t="s">
        <v>133</v>
      </c>
      <c r="C47">
        <v>1847</v>
      </c>
    </row>
    <row r="48" spans="1:3" x14ac:dyDescent="0.2">
      <c r="B48" t="s">
        <v>134</v>
      </c>
      <c r="C48">
        <v>868</v>
      </c>
    </row>
    <row r="49" spans="1:3" x14ac:dyDescent="0.2">
      <c r="B49" t="s">
        <v>135</v>
      </c>
      <c r="C49">
        <v>986</v>
      </c>
    </row>
    <row r="50" spans="1:3" x14ac:dyDescent="0.2">
      <c r="B50" t="s">
        <v>136</v>
      </c>
      <c r="C50">
        <v>1469</v>
      </c>
    </row>
    <row r="51" spans="1:3" x14ac:dyDescent="0.2">
      <c r="B51" t="s">
        <v>137</v>
      </c>
      <c r="C51">
        <v>1433</v>
      </c>
    </row>
    <row r="52" spans="1:3" x14ac:dyDescent="0.2">
      <c r="B52" t="s">
        <v>138</v>
      </c>
      <c r="C52">
        <v>1909</v>
      </c>
    </row>
    <row r="53" spans="1:3" s="3" customFormat="1" x14ac:dyDescent="0.2">
      <c r="A53" s="3" t="s">
        <v>60</v>
      </c>
      <c r="C53" s="3">
        <v>56853</v>
      </c>
    </row>
    <row r="54" spans="1:3" x14ac:dyDescent="0.2">
      <c r="A54" t="s">
        <v>4</v>
      </c>
      <c r="B54" t="s">
        <v>126</v>
      </c>
      <c r="C54">
        <v>3335</v>
      </c>
    </row>
    <row r="55" spans="1:3" x14ac:dyDescent="0.2">
      <c r="B55" t="s">
        <v>125</v>
      </c>
      <c r="C55">
        <v>4776</v>
      </c>
    </row>
    <row r="56" spans="1:3" x14ac:dyDescent="0.2">
      <c r="B56" t="s">
        <v>129</v>
      </c>
      <c r="C56">
        <v>6633</v>
      </c>
    </row>
    <row r="57" spans="1:3" x14ac:dyDescent="0.2">
      <c r="B57" t="s">
        <v>130</v>
      </c>
      <c r="C57">
        <v>8943</v>
      </c>
    </row>
    <row r="58" spans="1:3" x14ac:dyDescent="0.2">
      <c r="B58" t="s">
        <v>131</v>
      </c>
      <c r="C58">
        <v>6549</v>
      </c>
    </row>
    <row r="59" spans="1:3" x14ac:dyDescent="0.2">
      <c r="B59" t="s">
        <v>132</v>
      </c>
      <c r="C59">
        <v>9490</v>
      </c>
    </row>
    <row r="60" spans="1:3" x14ac:dyDescent="0.2">
      <c r="B60" t="s">
        <v>133</v>
      </c>
      <c r="C60">
        <v>2509</v>
      </c>
    </row>
    <row r="61" spans="1:3" x14ac:dyDescent="0.2">
      <c r="B61" t="s">
        <v>134</v>
      </c>
      <c r="C61">
        <v>1209</v>
      </c>
    </row>
    <row r="62" spans="1:3" x14ac:dyDescent="0.2">
      <c r="B62" t="s">
        <v>135</v>
      </c>
      <c r="C62">
        <v>2394</v>
      </c>
    </row>
    <row r="63" spans="1:3" x14ac:dyDescent="0.2">
      <c r="B63" t="s">
        <v>136</v>
      </c>
      <c r="C63">
        <v>2804</v>
      </c>
    </row>
    <row r="64" spans="1:3" x14ac:dyDescent="0.2">
      <c r="B64" t="s">
        <v>137</v>
      </c>
      <c r="C64">
        <v>2374</v>
      </c>
    </row>
    <row r="65" spans="1:3" x14ac:dyDescent="0.2">
      <c r="B65" t="s">
        <v>138</v>
      </c>
      <c r="C65">
        <v>5816</v>
      </c>
    </row>
    <row r="66" spans="1:3" s="3" customFormat="1" x14ac:dyDescent="0.2">
      <c r="A66" s="3" t="s">
        <v>61</v>
      </c>
      <c r="C66" s="3">
        <v>56832</v>
      </c>
    </row>
    <row r="67" spans="1:3" x14ac:dyDescent="0.2">
      <c r="A67" t="s">
        <v>5</v>
      </c>
      <c r="B67" t="s">
        <v>126</v>
      </c>
      <c r="C67">
        <v>44612</v>
      </c>
    </row>
    <row r="68" spans="1:3" x14ac:dyDescent="0.2">
      <c r="B68" t="s">
        <v>125</v>
      </c>
      <c r="C68">
        <v>39207</v>
      </c>
    </row>
    <row r="69" spans="1:3" x14ac:dyDescent="0.2">
      <c r="B69" t="s">
        <v>129</v>
      </c>
      <c r="C69">
        <v>45736</v>
      </c>
    </row>
    <row r="70" spans="1:3" x14ac:dyDescent="0.2">
      <c r="B70" t="s">
        <v>130</v>
      </c>
      <c r="C70">
        <v>39259</v>
      </c>
    </row>
    <row r="71" spans="1:3" x14ac:dyDescent="0.2">
      <c r="B71" t="s">
        <v>131</v>
      </c>
      <c r="C71">
        <v>23840</v>
      </c>
    </row>
    <row r="72" spans="1:3" x14ac:dyDescent="0.2">
      <c r="B72" t="s">
        <v>132</v>
      </c>
      <c r="C72">
        <v>18890</v>
      </c>
    </row>
    <row r="73" spans="1:3" x14ac:dyDescent="0.2">
      <c r="B73" t="s">
        <v>133</v>
      </c>
      <c r="C73">
        <v>10200</v>
      </c>
    </row>
    <row r="74" spans="1:3" x14ac:dyDescent="0.2">
      <c r="B74" t="s">
        <v>134</v>
      </c>
      <c r="C74">
        <v>8149</v>
      </c>
    </row>
    <row r="75" spans="1:3" x14ac:dyDescent="0.2">
      <c r="B75" t="s">
        <v>135</v>
      </c>
      <c r="C75">
        <v>8988</v>
      </c>
    </row>
    <row r="76" spans="1:3" x14ac:dyDescent="0.2">
      <c r="B76" t="s">
        <v>136</v>
      </c>
      <c r="C76">
        <v>12710</v>
      </c>
    </row>
    <row r="77" spans="1:3" x14ac:dyDescent="0.2">
      <c r="B77" t="s">
        <v>137</v>
      </c>
      <c r="C77">
        <v>15334</v>
      </c>
    </row>
    <row r="78" spans="1:3" x14ac:dyDescent="0.2">
      <c r="B78" t="s">
        <v>138</v>
      </c>
      <c r="C78">
        <v>19082</v>
      </c>
    </row>
    <row r="79" spans="1:3" s="3" customFormat="1" x14ac:dyDescent="0.2">
      <c r="A79" s="3" t="s">
        <v>62</v>
      </c>
      <c r="C79" s="3">
        <v>286007</v>
      </c>
    </row>
    <row r="80" spans="1:3" x14ac:dyDescent="0.2">
      <c r="A80" t="s">
        <v>6</v>
      </c>
      <c r="B80" t="s">
        <v>126</v>
      </c>
      <c r="C80">
        <v>55845</v>
      </c>
    </row>
    <row r="81" spans="1:3" x14ac:dyDescent="0.2">
      <c r="B81" t="s">
        <v>125</v>
      </c>
      <c r="C81">
        <v>37890</v>
      </c>
    </row>
    <row r="82" spans="1:3" x14ac:dyDescent="0.2">
      <c r="B82" t="s">
        <v>129</v>
      </c>
      <c r="C82">
        <v>58770</v>
      </c>
    </row>
    <row r="83" spans="1:3" x14ac:dyDescent="0.2">
      <c r="B83" t="s">
        <v>130</v>
      </c>
      <c r="C83">
        <v>55959</v>
      </c>
    </row>
    <row r="84" spans="1:3" x14ac:dyDescent="0.2">
      <c r="B84" t="s">
        <v>131</v>
      </c>
      <c r="C84">
        <v>53928</v>
      </c>
    </row>
    <row r="85" spans="1:3" x14ac:dyDescent="0.2">
      <c r="B85" t="s">
        <v>132</v>
      </c>
      <c r="C85">
        <v>31175</v>
      </c>
    </row>
    <row r="86" spans="1:3" x14ac:dyDescent="0.2">
      <c r="B86" t="s">
        <v>133</v>
      </c>
      <c r="C86">
        <v>16548</v>
      </c>
    </row>
    <row r="87" spans="1:3" x14ac:dyDescent="0.2">
      <c r="B87" t="s">
        <v>134</v>
      </c>
      <c r="C87">
        <v>11090</v>
      </c>
    </row>
    <row r="88" spans="1:3" x14ac:dyDescent="0.2">
      <c r="B88" t="s">
        <v>135</v>
      </c>
      <c r="C88">
        <v>13979</v>
      </c>
    </row>
    <row r="89" spans="1:3" x14ac:dyDescent="0.2">
      <c r="B89" t="s">
        <v>136</v>
      </c>
      <c r="C89">
        <v>22011</v>
      </c>
    </row>
    <row r="90" spans="1:3" x14ac:dyDescent="0.2">
      <c r="B90" t="s">
        <v>137</v>
      </c>
      <c r="C90">
        <v>28987</v>
      </c>
    </row>
    <row r="91" spans="1:3" x14ac:dyDescent="0.2">
      <c r="B91" t="s">
        <v>138</v>
      </c>
      <c r="C91">
        <v>40388</v>
      </c>
    </row>
    <row r="92" spans="1:3" s="3" customFormat="1" x14ac:dyDescent="0.2">
      <c r="A92" s="3" t="s">
        <v>63</v>
      </c>
      <c r="C92" s="3">
        <v>426570</v>
      </c>
    </row>
    <row r="93" spans="1:3" x14ac:dyDescent="0.2">
      <c r="A93" t="s">
        <v>7</v>
      </c>
      <c r="B93" t="s">
        <v>126</v>
      </c>
      <c r="C93">
        <v>8756</v>
      </c>
    </row>
    <row r="94" spans="1:3" x14ac:dyDescent="0.2">
      <c r="B94" t="s">
        <v>125</v>
      </c>
      <c r="C94">
        <v>7699</v>
      </c>
    </row>
    <row r="95" spans="1:3" x14ac:dyDescent="0.2">
      <c r="B95" t="s">
        <v>129</v>
      </c>
      <c r="C95">
        <v>7661</v>
      </c>
    </row>
    <row r="96" spans="1:3" x14ac:dyDescent="0.2">
      <c r="B96" t="s">
        <v>130</v>
      </c>
      <c r="C96">
        <v>6961</v>
      </c>
    </row>
    <row r="97" spans="1:3" x14ac:dyDescent="0.2">
      <c r="B97" t="s">
        <v>131</v>
      </c>
      <c r="C97">
        <v>7639</v>
      </c>
    </row>
    <row r="98" spans="1:3" x14ac:dyDescent="0.2">
      <c r="B98" t="s">
        <v>132</v>
      </c>
      <c r="C98">
        <v>8331</v>
      </c>
    </row>
    <row r="99" spans="1:3" x14ac:dyDescent="0.2">
      <c r="B99" t="s">
        <v>133</v>
      </c>
      <c r="C99">
        <v>8520</v>
      </c>
    </row>
    <row r="100" spans="1:3" x14ac:dyDescent="0.2">
      <c r="B100" t="s">
        <v>134</v>
      </c>
      <c r="C100">
        <v>8227</v>
      </c>
    </row>
    <row r="101" spans="1:3" x14ac:dyDescent="0.2">
      <c r="B101" t="s">
        <v>135</v>
      </c>
      <c r="C101">
        <v>9540</v>
      </c>
    </row>
    <row r="102" spans="1:3" x14ac:dyDescent="0.2">
      <c r="B102" t="s">
        <v>136</v>
      </c>
      <c r="C102">
        <v>7736</v>
      </c>
    </row>
    <row r="103" spans="1:3" x14ac:dyDescent="0.2">
      <c r="B103" t="s">
        <v>137</v>
      </c>
      <c r="C103">
        <v>6618</v>
      </c>
    </row>
    <row r="104" spans="1:3" x14ac:dyDescent="0.2">
      <c r="B104" t="s">
        <v>138</v>
      </c>
      <c r="C104">
        <v>5494</v>
      </c>
    </row>
    <row r="105" spans="1:3" s="3" customFormat="1" x14ac:dyDescent="0.2">
      <c r="A105" s="3" t="s">
        <v>64</v>
      </c>
      <c r="C105" s="3">
        <v>93182</v>
      </c>
    </row>
    <row r="106" spans="1:3" x14ac:dyDescent="0.2">
      <c r="A106" t="s">
        <v>8</v>
      </c>
      <c r="B106" t="s">
        <v>126</v>
      </c>
      <c r="C106">
        <v>68612</v>
      </c>
    </row>
    <row r="107" spans="1:3" x14ac:dyDescent="0.2">
      <c r="B107" t="s">
        <v>125</v>
      </c>
      <c r="C107">
        <v>60495</v>
      </c>
    </row>
    <row r="108" spans="1:3" x14ac:dyDescent="0.2">
      <c r="B108" t="s">
        <v>129</v>
      </c>
      <c r="C108">
        <v>80055</v>
      </c>
    </row>
    <row r="109" spans="1:3" x14ac:dyDescent="0.2">
      <c r="B109" t="s">
        <v>130</v>
      </c>
      <c r="C109">
        <v>69052</v>
      </c>
    </row>
    <row r="110" spans="1:3" x14ac:dyDescent="0.2">
      <c r="B110" t="s">
        <v>131</v>
      </c>
      <c r="C110">
        <v>57620</v>
      </c>
    </row>
    <row r="111" spans="1:3" x14ac:dyDescent="0.2">
      <c r="B111" t="s">
        <v>132</v>
      </c>
      <c r="C111">
        <v>43437</v>
      </c>
    </row>
    <row r="112" spans="1:3" x14ac:dyDescent="0.2">
      <c r="B112" t="s">
        <v>133</v>
      </c>
      <c r="C112">
        <v>23467</v>
      </c>
    </row>
    <row r="113" spans="1:3" x14ac:dyDescent="0.2">
      <c r="B113" t="s">
        <v>134</v>
      </c>
      <c r="C113">
        <v>16000</v>
      </c>
    </row>
    <row r="114" spans="1:3" x14ac:dyDescent="0.2">
      <c r="B114" t="s">
        <v>135</v>
      </c>
      <c r="C114">
        <v>18594</v>
      </c>
    </row>
    <row r="115" spans="1:3" x14ac:dyDescent="0.2">
      <c r="B115" t="s">
        <v>136</v>
      </c>
      <c r="C115">
        <v>25263</v>
      </c>
    </row>
    <row r="116" spans="1:3" x14ac:dyDescent="0.2">
      <c r="B116" t="s">
        <v>137</v>
      </c>
      <c r="C116">
        <v>29896</v>
      </c>
    </row>
    <row r="117" spans="1:3" x14ac:dyDescent="0.2">
      <c r="B117" t="s">
        <v>138</v>
      </c>
      <c r="C117">
        <v>27787</v>
      </c>
    </row>
    <row r="118" spans="1:3" s="3" customFormat="1" x14ac:dyDescent="0.2">
      <c r="A118" s="3" t="s">
        <v>65</v>
      </c>
      <c r="C118" s="3">
        <v>520278</v>
      </c>
    </row>
    <row r="119" spans="1:3" x14ac:dyDescent="0.2">
      <c r="A119" t="s">
        <v>9</v>
      </c>
      <c r="B119" t="s">
        <v>126</v>
      </c>
      <c r="C119">
        <v>760</v>
      </c>
    </row>
    <row r="120" spans="1:3" x14ac:dyDescent="0.2">
      <c r="B120" t="s">
        <v>125</v>
      </c>
      <c r="C120">
        <v>659</v>
      </c>
    </row>
    <row r="121" spans="1:3" x14ac:dyDescent="0.2">
      <c r="B121" t="s">
        <v>129</v>
      </c>
      <c r="C121">
        <v>879</v>
      </c>
    </row>
    <row r="122" spans="1:3" x14ac:dyDescent="0.2">
      <c r="B122" t="s">
        <v>130</v>
      </c>
      <c r="C122">
        <v>816</v>
      </c>
    </row>
    <row r="123" spans="1:3" x14ac:dyDescent="0.2">
      <c r="B123" t="s">
        <v>131</v>
      </c>
      <c r="C123">
        <v>544</v>
      </c>
    </row>
    <row r="124" spans="1:3" x14ac:dyDescent="0.2">
      <c r="B124" t="s">
        <v>132</v>
      </c>
      <c r="C124">
        <v>444</v>
      </c>
    </row>
    <row r="125" spans="1:3" x14ac:dyDescent="0.2">
      <c r="B125" t="s">
        <v>133</v>
      </c>
      <c r="C125">
        <v>349</v>
      </c>
    </row>
    <row r="126" spans="1:3" x14ac:dyDescent="0.2">
      <c r="B126" t="s">
        <v>134</v>
      </c>
      <c r="C126">
        <v>281</v>
      </c>
    </row>
    <row r="127" spans="1:3" x14ac:dyDescent="0.2">
      <c r="B127" t="s">
        <v>135</v>
      </c>
      <c r="C127">
        <v>491</v>
      </c>
    </row>
    <row r="128" spans="1:3" x14ac:dyDescent="0.2">
      <c r="B128" t="s">
        <v>136</v>
      </c>
      <c r="C128">
        <v>574</v>
      </c>
    </row>
    <row r="129" spans="1:3" x14ac:dyDescent="0.2">
      <c r="B129" t="s">
        <v>137</v>
      </c>
      <c r="C129">
        <v>367</v>
      </c>
    </row>
    <row r="130" spans="1:3" x14ac:dyDescent="0.2">
      <c r="B130" t="s">
        <v>138</v>
      </c>
      <c r="C130">
        <v>85</v>
      </c>
    </row>
    <row r="131" spans="1:3" s="3" customFormat="1" x14ac:dyDescent="0.2">
      <c r="A131" s="3" t="s">
        <v>66</v>
      </c>
      <c r="C131" s="3">
        <v>6249</v>
      </c>
    </row>
    <row r="132" spans="1:3" x14ac:dyDescent="0.2">
      <c r="A132" t="s">
        <v>10</v>
      </c>
      <c r="B132" t="s">
        <v>126</v>
      </c>
      <c r="C132">
        <v>134501</v>
      </c>
    </row>
    <row r="133" spans="1:3" x14ac:dyDescent="0.2">
      <c r="B133" t="s">
        <v>125</v>
      </c>
      <c r="C133">
        <v>108747</v>
      </c>
    </row>
    <row r="134" spans="1:3" x14ac:dyDescent="0.2">
      <c r="B134" t="s">
        <v>129</v>
      </c>
      <c r="C134">
        <v>146445</v>
      </c>
    </row>
    <row r="135" spans="1:3" x14ac:dyDescent="0.2">
      <c r="B135" t="s">
        <v>130</v>
      </c>
      <c r="C135">
        <v>84135</v>
      </c>
    </row>
    <row r="136" spans="1:3" x14ac:dyDescent="0.2">
      <c r="B136" t="s">
        <v>131</v>
      </c>
      <c r="C136">
        <v>74888</v>
      </c>
    </row>
    <row r="137" spans="1:3" x14ac:dyDescent="0.2">
      <c r="B137" t="s">
        <v>132</v>
      </c>
      <c r="C137">
        <v>53773</v>
      </c>
    </row>
    <row r="138" spans="1:3" x14ac:dyDescent="0.2">
      <c r="B138" t="s">
        <v>133</v>
      </c>
      <c r="C138">
        <v>33332</v>
      </c>
    </row>
    <row r="139" spans="1:3" x14ac:dyDescent="0.2">
      <c r="B139" t="s">
        <v>134</v>
      </c>
      <c r="C139">
        <v>21341</v>
      </c>
    </row>
    <row r="140" spans="1:3" x14ac:dyDescent="0.2">
      <c r="B140" t="s">
        <v>135</v>
      </c>
      <c r="C140">
        <v>27771</v>
      </c>
    </row>
    <row r="141" spans="1:3" x14ac:dyDescent="0.2">
      <c r="B141" t="s">
        <v>136</v>
      </c>
      <c r="C141">
        <v>44949</v>
      </c>
    </row>
    <row r="142" spans="1:3" x14ac:dyDescent="0.2">
      <c r="B142" t="s">
        <v>137</v>
      </c>
      <c r="C142">
        <v>59804</v>
      </c>
    </row>
    <row r="143" spans="1:3" x14ac:dyDescent="0.2">
      <c r="B143" t="s">
        <v>138</v>
      </c>
      <c r="C143">
        <v>47228</v>
      </c>
    </row>
    <row r="144" spans="1:3" s="3" customFormat="1" x14ac:dyDescent="0.2">
      <c r="A144" s="3" t="s">
        <v>67</v>
      </c>
      <c r="C144" s="3">
        <v>836914</v>
      </c>
    </row>
    <row r="145" spans="1:3" x14ac:dyDescent="0.2">
      <c r="A145" t="s">
        <v>11</v>
      </c>
      <c r="B145" t="s">
        <v>126</v>
      </c>
      <c r="C145">
        <v>30094</v>
      </c>
    </row>
    <row r="146" spans="1:3" x14ac:dyDescent="0.2">
      <c r="B146" t="s">
        <v>125</v>
      </c>
      <c r="C146">
        <v>22396</v>
      </c>
    </row>
    <row r="147" spans="1:3" x14ac:dyDescent="0.2">
      <c r="B147" t="s">
        <v>129</v>
      </c>
      <c r="C147">
        <v>24504</v>
      </c>
    </row>
    <row r="148" spans="1:3" x14ac:dyDescent="0.2">
      <c r="B148" t="s">
        <v>130</v>
      </c>
      <c r="C148">
        <v>19039</v>
      </c>
    </row>
    <row r="149" spans="1:3" x14ac:dyDescent="0.2">
      <c r="B149" t="s">
        <v>131</v>
      </c>
      <c r="C149">
        <v>20488</v>
      </c>
    </row>
    <row r="150" spans="1:3" x14ac:dyDescent="0.2">
      <c r="B150" t="s">
        <v>132</v>
      </c>
      <c r="C150">
        <v>17998</v>
      </c>
    </row>
    <row r="151" spans="1:3" x14ac:dyDescent="0.2">
      <c r="B151" t="s">
        <v>133</v>
      </c>
      <c r="C151">
        <v>16493</v>
      </c>
    </row>
    <row r="152" spans="1:3" x14ac:dyDescent="0.2">
      <c r="B152" t="s">
        <v>134</v>
      </c>
      <c r="C152">
        <v>14637</v>
      </c>
    </row>
    <row r="153" spans="1:3" x14ac:dyDescent="0.2">
      <c r="B153" t="s">
        <v>135</v>
      </c>
      <c r="C153">
        <v>15699</v>
      </c>
    </row>
    <row r="154" spans="1:3" x14ac:dyDescent="0.2">
      <c r="B154" t="s">
        <v>136</v>
      </c>
      <c r="C154">
        <v>13977</v>
      </c>
    </row>
    <row r="155" spans="1:3" x14ac:dyDescent="0.2">
      <c r="B155" t="s">
        <v>137</v>
      </c>
      <c r="C155">
        <v>11523</v>
      </c>
    </row>
    <row r="156" spans="1:3" x14ac:dyDescent="0.2">
      <c r="B156" t="s">
        <v>138</v>
      </c>
      <c r="C156">
        <v>6469</v>
      </c>
    </row>
    <row r="157" spans="1:3" s="3" customFormat="1" x14ac:dyDescent="0.2">
      <c r="A157" s="3" t="s">
        <v>68</v>
      </c>
      <c r="C157" s="3">
        <v>213317</v>
      </c>
    </row>
    <row r="158" spans="1:3" x14ac:dyDescent="0.2">
      <c r="A158" t="s">
        <v>12</v>
      </c>
      <c r="B158" t="s">
        <v>126</v>
      </c>
      <c r="C158">
        <v>19382</v>
      </c>
    </row>
    <row r="159" spans="1:3" x14ac:dyDescent="0.2">
      <c r="B159" t="s">
        <v>125</v>
      </c>
      <c r="C159">
        <v>15399</v>
      </c>
    </row>
    <row r="160" spans="1:3" x14ac:dyDescent="0.2">
      <c r="B160" t="s">
        <v>129</v>
      </c>
      <c r="C160">
        <v>20760</v>
      </c>
    </row>
    <row r="161" spans="1:3" x14ac:dyDescent="0.2">
      <c r="B161" t="s">
        <v>130</v>
      </c>
      <c r="C161">
        <v>19155</v>
      </c>
    </row>
    <row r="162" spans="1:3" x14ac:dyDescent="0.2">
      <c r="B162" t="s">
        <v>131</v>
      </c>
      <c r="C162">
        <v>19593</v>
      </c>
    </row>
    <row r="163" spans="1:3" x14ac:dyDescent="0.2">
      <c r="B163" t="s">
        <v>132</v>
      </c>
      <c r="C163">
        <v>16585</v>
      </c>
    </row>
    <row r="164" spans="1:3" x14ac:dyDescent="0.2">
      <c r="B164" t="s">
        <v>133</v>
      </c>
      <c r="C164">
        <v>13294</v>
      </c>
    </row>
    <row r="165" spans="1:3" x14ac:dyDescent="0.2">
      <c r="B165" t="s">
        <v>134</v>
      </c>
      <c r="C165">
        <v>12509</v>
      </c>
    </row>
    <row r="166" spans="1:3" x14ac:dyDescent="0.2">
      <c r="B166" t="s">
        <v>135</v>
      </c>
      <c r="C166">
        <v>17671</v>
      </c>
    </row>
    <row r="167" spans="1:3" x14ac:dyDescent="0.2">
      <c r="B167" t="s">
        <v>136</v>
      </c>
      <c r="C167">
        <v>21682</v>
      </c>
    </row>
    <row r="168" spans="1:3" x14ac:dyDescent="0.2">
      <c r="B168" t="s">
        <v>137</v>
      </c>
      <c r="C168">
        <v>24489</v>
      </c>
    </row>
    <row r="169" spans="1:3" x14ac:dyDescent="0.2">
      <c r="B169" t="s">
        <v>138</v>
      </c>
      <c r="C169">
        <v>14105</v>
      </c>
    </row>
    <row r="170" spans="1:3" s="3" customFormat="1" x14ac:dyDescent="0.2">
      <c r="A170" s="3" t="s">
        <v>69</v>
      </c>
      <c r="C170" s="3">
        <v>214624</v>
      </c>
    </row>
    <row r="171" spans="1:3" x14ac:dyDescent="0.2">
      <c r="A171" t="s">
        <v>13</v>
      </c>
      <c r="B171" t="s">
        <v>126</v>
      </c>
      <c r="C171">
        <v>62314</v>
      </c>
    </row>
    <row r="172" spans="1:3" x14ac:dyDescent="0.2">
      <c r="B172" t="s">
        <v>125</v>
      </c>
      <c r="C172">
        <v>52337</v>
      </c>
    </row>
    <row r="173" spans="1:3" x14ac:dyDescent="0.2">
      <c r="B173" t="s">
        <v>129</v>
      </c>
      <c r="C173">
        <v>56377</v>
      </c>
    </row>
    <row r="174" spans="1:3" x14ac:dyDescent="0.2">
      <c r="B174" t="s">
        <v>130</v>
      </c>
      <c r="C174">
        <v>38712</v>
      </c>
    </row>
    <row r="175" spans="1:3" x14ac:dyDescent="0.2">
      <c r="B175" t="s">
        <v>131</v>
      </c>
      <c r="C175">
        <v>37182</v>
      </c>
    </row>
    <row r="176" spans="1:3" x14ac:dyDescent="0.2">
      <c r="B176" t="s">
        <v>132</v>
      </c>
      <c r="C176">
        <v>27398</v>
      </c>
    </row>
    <row r="177" spans="1:3" x14ac:dyDescent="0.2">
      <c r="B177" t="s">
        <v>133</v>
      </c>
      <c r="C177">
        <v>15992</v>
      </c>
    </row>
    <row r="178" spans="1:3" x14ac:dyDescent="0.2">
      <c r="B178" t="s">
        <v>134</v>
      </c>
      <c r="C178">
        <v>12319</v>
      </c>
    </row>
    <row r="179" spans="1:3" x14ac:dyDescent="0.2">
      <c r="B179" t="s">
        <v>135</v>
      </c>
      <c r="C179">
        <v>18877</v>
      </c>
    </row>
    <row r="180" spans="1:3" x14ac:dyDescent="0.2">
      <c r="B180" t="s">
        <v>136</v>
      </c>
      <c r="C180">
        <v>27142</v>
      </c>
    </row>
    <row r="181" spans="1:3" x14ac:dyDescent="0.2">
      <c r="B181" t="s">
        <v>137</v>
      </c>
      <c r="C181">
        <v>33833</v>
      </c>
    </row>
    <row r="182" spans="1:3" x14ac:dyDescent="0.2">
      <c r="B182" t="s">
        <v>138</v>
      </c>
      <c r="C182">
        <v>32791</v>
      </c>
    </row>
    <row r="183" spans="1:3" s="3" customFormat="1" x14ac:dyDescent="0.2">
      <c r="A183" s="3" t="s">
        <v>70</v>
      </c>
      <c r="C183" s="3">
        <v>415274</v>
      </c>
    </row>
    <row r="184" spans="1:3" x14ac:dyDescent="0.2">
      <c r="A184" t="s">
        <v>14</v>
      </c>
      <c r="B184" t="s">
        <v>126</v>
      </c>
      <c r="C184">
        <v>52549</v>
      </c>
    </row>
    <row r="185" spans="1:3" x14ac:dyDescent="0.2">
      <c r="B185" t="s">
        <v>125</v>
      </c>
      <c r="C185">
        <v>36170</v>
      </c>
    </row>
    <row r="186" spans="1:3" x14ac:dyDescent="0.2">
      <c r="B186" t="s">
        <v>129</v>
      </c>
      <c r="C186">
        <v>43191</v>
      </c>
    </row>
    <row r="187" spans="1:3" x14ac:dyDescent="0.2">
      <c r="B187" t="s">
        <v>130</v>
      </c>
      <c r="C187">
        <v>43198</v>
      </c>
    </row>
    <row r="188" spans="1:3" x14ac:dyDescent="0.2">
      <c r="B188" t="s">
        <v>131</v>
      </c>
      <c r="C188">
        <v>37111</v>
      </c>
    </row>
    <row r="189" spans="1:3" x14ac:dyDescent="0.2">
      <c r="B189" t="s">
        <v>132</v>
      </c>
      <c r="C189">
        <v>26702</v>
      </c>
    </row>
    <row r="190" spans="1:3" x14ac:dyDescent="0.2">
      <c r="B190" t="s">
        <v>133</v>
      </c>
      <c r="C190">
        <v>14373</v>
      </c>
    </row>
    <row r="191" spans="1:3" x14ac:dyDescent="0.2">
      <c r="B191" t="s">
        <v>134</v>
      </c>
      <c r="C191">
        <v>11966</v>
      </c>
    </row>
    <row r="192" spans="1:3" x14ac:dyDescent="0.2">
      <c r="B192" t="s">
        <v>135</v>
      </c>
      <c r="C192">
        <v>13975</v>
      </c>
    </row>
    <row r="193" spans="1:3" x14ac:dyDescent="0.2">
      <c r="B193" t="s">
        <v>136</v>
      </c>
      <c r="C193">
        <v>24692</v>
      </c>
    </row>
    <row r="194" spans="1:3" x14ac:dyDescent="0.2">
      <c r="B194" t="s">
        <v>137</v>
      </c>
      <c r="C194">
        <v>25103</v>
      </c>
    </row>
    <row r="195" spans="1:3" x14ac:dyDescent="0.2">
      <c r="B195" t="s">
        <v>138</v>
      </c>
      <c r="C195">
        <v>30297</v>
      </c>
    </row>
    <row r="196" spans="1:3" s="3" customFormat="1" x14ac:dyDescent="0.2">
      <c r="A196" s="3" t="s">
        <v>71</v>
      </c>
      <c r="C196" s="3">
        <v>359327</v>
      </c>
    </row>
    <row r="197" spans="1:3" x14ac:dyDescent="0.2">
      <c r="A197" t="s">
        <v>15</v>
      </c>
      <c r="B197" t="s">
        <v>126</v>
      </c>
      <c r="C197">
        <v>12958</v>
      </c>
    </row>
    <row r="198" spans="1:3" x14ac:dyDescent="0.2">
      <c r="B198" t="s">
        <v>125</v>
      </c>
      <c r="C198">
        <v>12395</v>
      </c>
    </row>
    <row r="199" spans="1:3" x14ac:dyDescent="0.2">
      <c r="B199" t="s">
        <v>129</v>
      </c>
      <c r="C199">
        <v>14723</v>
      </c>
    </row>
    <row r="200" spans="1:3" x14ac:dyDescent="0.2">
      <c r="B200" t="s">
        <v>130</v>
      </c>
      <c r="C200">
        <v>15642</v>
      </c>
    </row>
    <row r="201" spans="1:3" x14ac:dyDescent="0.2">
      <c r="B201" t="s">
        <v>131</v>
      </c>
      <c r="C201">
        <v>16862</v>
      </c>
    </row>
    <row r="202" spans="1:3" x14ac:dyDescent="0.2">
      <c r="B202" t="s">
        <v>132</v>
      </c>
      <c r="C202">
        <v>13603</v>
      </c>
    </row>
    <row r="203" spans="1:3" x14ac:dyDescent="0.2">
      <c r="B203" t="s">
        <v>133</v>
      </c>
      <c r="C203">
        <v>6188</v>
      </c>
    </row>
    <row r="204" spans="1:3" x14ac:dyDescent="0.2">
      <c r="B204" t="s">
        <v>134</v>
      </c>
      <c r="C204">
        <v>5828</v>
      </c>
    </row>
    <row r="205" spans="1:3" x14ac:dyDescent="0.2">
      <c r="B205" t="s">
        <v>135</v>
      </c>
      <c r="C205">
        <v>7656</v>
      </c>
    </row>
    <row r="206" spans="1:3" x14ac:dyDescent="0.2">
      <c r="B206" t="s">
        <v>136</v>
      </c>
      <c r="C206">
        <v>5817</v>
      </c>
    </row>
    <row r="207" spans="1:3" x14ac:dyDescent="0.2">
      <c r="B207" t="s">
        <v>137</v>
      </c>
      <c r="C207">
        <v>8441</v>
      </c>
    </row>
    <row r="208" spans="1:3" x14ac:dyDescent="0.2">
      <c r="B208" t="s">
        <v>138</v>
      </c>
      <c r="C208">
        <v>5921</v>
      </c>
    </row>
    <row r="209" spans="1:3" s="3" customFormat="1" x14ac:dyDescent="0.2">
      <c r="A209" s="3" t="s">
        <v>72</v>
      </c>
      <c r="C209" s="3">
        <v>126034</v>
      </c>
    </row>
    <row r="210" spans="1:3" x14ac:dyDescent="0.2">
      <c r="A210" t="s">
        <v>16</v>
      </c>
      <c r="B210" t="s">
        <v>126</v>
      </c>
      <c r="C210">
        <v>19427</v>
      </c>
    </row>
    <row r="211" spans="1:3" x14ac:dyDescent="0.2">
      <c r="B211" t="s">
        <v>125</v>
      </c>
      <c r="C211">
        <v>17753</v>
      </c>
    </row>
    <row r="212" spans="1:3" x14ac:dyDescent="0.2">
      <c r="B212" t="s">
        <v>129</v>
      </c>
      <c r="C212">
        <v>33721</v>
      </c>
    </row>
    <row r="213" spans="1:3" x14ac:dyDescent="0.2">
      <c r="B213" t="s">
        <v>130</v>
      </c>
      <c r="C213">
        <v>32951</v>
      </c>
    </row>
    <row r="214" spans="1:3" x14ac:dyDescent="0.2">
      <c r="B214" t="s">
        <v>131</v>
      </c>
      <c r="C214">
        <v>31845</v>
      </c>
    </row>
    <row r="215" spans="1:3" x14ac:dyDescent="0.2">
      <c r="B215" t="s">
        <v>132</v>
      </c>
      <c r="C215">
        <v>20772</v>
      </c>
    </row>
    <row r="216" spans="1:3" x14ac:dyDescent="0.2">
      <c r="B216" t="s">
        <v>133</v>
      </c>
      <c r="C216">
        <v>8392</v>
      </c>
    </row>
    <row r="217" spans="1:3" x14ac:dyDescent="0.2">
      <c r="B217" t="s">
        <v>134</v>
      </c>
      <c r="C217">
        <v>3809</v>
      </c>
    </row>
    <row r="218" spans="1:3" x14ac:dyDescent="0.2">
      <c r="B218" t="s">
        <v>135</v>
      </c>
      <c r="C218">
        <v>4529</v>
      </c>
    </row>
    <row r="219" spans="1:3" x14ac:dyDescent="0.2">
      <c r="B219" t="s">
        <v>136</v>
      </c>
      <c r="C219">
        <v>5414</v>
      </c>
    </row>
    <row r="220" spans="1:3" x14ac:dyDescent="0.2">
      <c r="B220" t="s">
        <v>137</v>
      </c>
      <c r="C220">
        <v>7558</v>
      </c>
    </row>
    <row r="221" spans="1:3" x14ac:dyDescent="0.2">
      <c r="B221" t="s">
        <v>138</v>
      </c>
      <c r="C221">
        <v>9946</v>
      </c>
    </row>
    <row r="222" spans="1:3" s="3" customFormat="1" x14ac:dyDescent="0.2">
      <c r="A222" s="3" t="s">
        <v>73</v>
      </c>
      <c r="C222" s="3">
        <v>196117</v>
      </c>
    </row>
    <row r="223" spans="1:3" x14ac:dyDescent="0.2">
      <c r="A223" t="s">
        <v>17</v>
      </c>
      <c r="B223" t="s">
        <v>126</v>
      </c>
      <c r="C223">
        <v>25052</v>
      </c>
    </row>
    <row r="224" spans="1:3" x14ac:dyDescent="0.2">
      <c r="B224" t="s">
        <v>125</v>
      </c>
      <c r="C224">
        <v>20400</v>
      </c>
    </row>
    <row r="225" spans="1:3" x14ac:dyDescent="0.2">
      <c r="B225" t="s">
        <v>129</v>
      </c>
      <c r="C225">
        <v>39030</v>
      </c>
    </row>
    <row r="226" spans="1:3" x14ac:dyDescent="0.2">
      <c r="B226" t="s">
        <v>130</v>
      </c>
      <c r="C226">
        <v>33094</v>
      </c>
    </row>
    <row r="227" spans="1:3" x14ac:dyDescent="0.2">
      <c r="B227" t="s">
        <v>131</v>
      </c>
      <c r="C227">
        <v>36084</v>
      </c>
    </row>
    <row r="228" spans="1:3" x14ac:dyDescent="0.2">
      <c r="B228" t="s">
        <v>132</v>
      </c>
      <c r="C228">
        <v>35698</v>
      </c>
    </row>
    <row r="229" spans="1:3" x14ac:dyDescent="0.2">
      <c r="B229" t="s">
        <v>133</v>
      </c>
      <c r="C229">
        <v>14200</v>
      </c>
    </row>
    <row r="230" spans="1:3" x14ac:dyDescent="0.2">
      <c r="B230" t="s">
        <v>134</v>
      </c>
      <c r="C230">
        <v>10382</v>
      </c>
    </row>
    <row r="231" spans="1:3" x14ac:dyDescent="0.2">
      <c r="B231" t="s">
        <v>135</v>
      </c>
      <c r="C231">
        <v>9195</v>
      </c>
    </row>
    <row r="232" spans="1:3" x14ac:dyDescent="0.2">
      <c r="B232" t="s">
        <v>136</v>
      </c>
      <c r="C232">
        <v>10989</v>
      </c>
    </row>
    <row r="233" spans="1:3" x14ac:dyDescent="0.2">
      <c r="B233" t="s">
        <v>137</v>
      </c>
      <c r="C233">
        <v>12906</v>
      </c>
    </row>
    <row r="234" spans="1:3" x14ac:dyDescent="0.2">
      <c r="B234" t="s">
        <v>138</v>
      </c>
      <c r="C234">
        <v>11701</v>
      </c>
    </row>
    <row r="235" spans="1:3" s="3" customFormat="1" x14ac:dyDescent="0.2">
      <c r="A235" s="3" t="s">
        <v>74</v>
      </c>
      <c r="C235" s="3">
        <v>258731</v>
      </c>
    </row>
    <row r="236" spans="1:3" x14ac:dyDescent="0.2">
      <c r="A236" t="s">
        <v>18</v>
      </c>
      <c r="B236" t="s">
        <v>126</v>
      </c>
      <c r="C236">
        <v>17151</v>
      </c>
    </row>
    <row r="237" spans="1:3" x14ac:dyDescent="0.2">
      <c r="B237" t="s">
        <v>125</v>
      </c>
      <c r="C237">
        <v>14156</v>
      </c>
    </row>
    <row r="238" spans="1:3" x14ac:dyDescent="0.2">
      <c r="B238" t="s">
        <v>129</v>
      </c>
      <c r="C238">
        <v>18372</v>
      </c>
    </row>
    <row r="239" spans="1:3" x14ac:dyDescent="0.2">
      <c r="B239" t="s">
        <v>130</v>
      </c>
      <c r="C239">
        <v>18942</v>
      </c>
    </row>
    <row r="240" spans="1:3" x14ac:dyDescent="0.2">
      <c r="B240" t="s">
        <v>131</v>
      </c>
      <c r="C240">
        <v>16719</v>
      </c>
    </row>
    <row r="241" spans="1:3" x14ac:dyDescent="0.2">
      <c r="B241" t="s">
        <v>132</v>
      </c>
      <c r="C241">
        <v>12216</v>
      </c>
    </row>
    <row r="242" spans="1:3" x14ac:dyDescent="0.2">
      <c r="B242" t="s">
        <v>133</v>
      </c>
      <c r="C242">
        <v>9076</v>
      </c>
    </row>
    <row r="243" spans="1:3" x14ac:dyDescent="0.2">
      <c r="B243" t="s">
        <v>134</v>
      </c>
      <c r="C243">
        <v>7086</v>
      </c>
    </row>
    <row r="244" spans="1:3" x14ac:dyDescent="0.2">
      <c r="B244" t="s">
        <v>135</v>
      </c>
      <c r="C244">
        <v>8911</v>
      </c>
    </row>
    <row r="245" spans="1:3" x14ac:dyDescent="0.2">
      <c r="B245" t="s">
        <v>136</v>
      </c>
      <c r="C245">
        <v>9010</v>
      </c>
    </row>
    <row r="246" spans="1:3" x14ac:dyDescent="0.2">
      <c r="B246" t="s">
        <v>137</v>
      </c>
      <c r="C246">
        <v>10206</v>
      </c>
    </row>
    <row r="247" spans="1:3" x14ac:dyDescent="0.2">
      <c r="B247" t="s">
        <v>138</v>
      </c>
      <c r="C247">
        <v>10286</v>
      </c>
    </row>
    <row r="248" spans="1:3" s="3" customFormat="1" x14ac:dyDescent="0.2">
      <c r="A248" s="3" t="s">
        <v>75</v>
      </c>
      <c r="C248" s="3">
        <v>152131</v>
      </c>
    </row>
    <row r="249" spans="1:3" x14ac:dyDescent="0.2">
      <c r="A249" t="s">
        <v>19</v>
      </c>
      <c r="B249" t="s">
        <v>126</v>
      </c>
      <c r="C249">
        <v>35136</v>
      </c>
    </row>
    <row r="250" spans="1:3" x14ac:dyDescent="0.2">
      <c r="B250" t="s">
        <v>125</v>
      </c>
      <c r="C250">
        <v>30918</v>
      </c>
    </row>
    <row r="251" spans="1:3" x14ac:dyDescent="0.2">
      <c r="B251" t="s">
        <v>129</v>
      </c>
      <c r="C251">
        <v>32073</v>
      </c>
    </row>
    <row r="252" spans="1:3" x14ac:dyDescent="0.2">
      <c r="B252" t="s">
        <v>130</v>
      </c>
      <c r="C252">
        <v>27679</v>
      </c>
    </row>
    <row r="253" spans="1:3" x14ac:dyDescent="0.2">
      <c r="B253" t="s">
        <v>131</v>
      </c>
      <c r="C253">
        <v>23003</v>
      </c>
    </row>
    <row r="254" spans="1:3" x14ac:dyDescent="0.2">
      <c r="B254" t="s">
        <v>132</v>
      </c>
      <c r="C254">
        <v>22603</v>
      </c>
    </row>
    <row r="255" spans="1:3" x14ac:dyDescent="0.2">
      <c r="B255" t="s">
        <v>133</v>
      </c>
      <c r="C255">
        <v>21063</v>
      </c>
    </row>
    <row r="256" spans="1:3" x14ac:dyDescent="0.2">
      <c r="B256" t="s">
        <v>134</v>
      </c>
      <c r="C256">
        <v>18194</v>
      </c>
    </row>
    <row r="257" spans="1:3" x14ac:dyDescent="0.2">
      <c r="B257" t="s">
        <v>135</v>
      </c>
      <c r="C257">
        <v>21677</v>
      </c>
    </row>
    <row r="258" spans="1:3" x14ac:dyDescent="0.2">
      <c r="B258" t="s">
        <v>136</v>
      </c>
      <c r="C258">
        <v>23456</v>
      </c>
    </row>
    <row r="259" spans="1:3" x14ac:dyDescent="0.2">
      <c r="B259" t="s">
        <v>137</v>
      </c>
      <c r="C259">
        <v>27291</v>
      </c>
    </row>
    <row r="260" spans="1:3" x14ac:dyDescent="0.2">
      <c r="B260" t="s">
        <v>138</v>
      </c>
      <c r="C260">
        <v>19593</v>
      </c>
    </row>
    <row r="261" spans="1:3" s="3" customFormat="1" x14ac:dyDescent="0.2">
      <c r="A261" s="3" t="s">
        <v>76</v>
      </c>
      <c r="C261" s="3">
        <v>302686</v>
      </c>
    </row>
    <row r="262" spans="1:3" x14ac:dyDescent="0.2">
      <c r="A262" t="s">
        <v>20</v>
      </c>
      <c r="B262" t="s">
        <v>126</v>
      </c>
      <c r="C262">
        <v>15290</v>
      </c>
    </row>
    <row r="263" spans="1:3" x14ac:dyDescent="0.2">
      <c r="B263" t="s">
        <v>125</v>
      </c>
      <c r="C263">
        <v>13127</v>
      </c>
    </row>
    <row r="264" spans="1:3" x14ac:dyDescent="0.2">
      <c r="B264" t="s">
        <v>129</v>
      </c>
      <c r="C264">
        <v>17943</v>
      </c>
    </row>
    <row r="265" spans="1:3" x14ac:dyDescent="0.2">
      <c r="B265" t="s">
        <v>130</v>
      </c>
      <c r="C265">
        <v>14919</v>
      </c>
    </row>
    <row r="266" spans="1:3" x14ac:dyDescent="0.2">
      <c r="B266" t="s">
        <v>131</v>
      </c>
      <c r="C266">
        <v>16637</v>
      </c>
    </row>
    <row r="267" spans="1:3" x14ac:dyDescent="0.2">
      <c r="B267" t="s">
        <v>132</v>
      </c>
      <c r="C267">
        <v>15945</v>
      </c>
    </row>
    <row r="268" spans="1:3" x14ac:dyDescent="0.2">
      <c r="B268" t="s">
        <v>133</v>
      </c>
      <c r="C268">
        <v>19651</v>
      </c>
    </row>
    <row r="269" spans="1:3" x14ac:dyDescent="0.2">
      <c r="B269" t="s">
        <v>134</v>
      </c>
      <c r="C269">
        <v>19334</v>
      </c>
    </row>
    <row r="270" spans="1:3" x14ac:dyDescent="0.2">
      <c r="B270" t="s">
        <v>135</v>
      </c>
      <c r="C270">
        <v>28169</v>
      </c>
    </row>
    <row r="271" spans="1:3" x14ac:dyDescent="0.2">
      <c r="B271" t="s">
        <v>136</v>
      </c>
      <c r="C271">
        <v>27534</v>
      </c>
    </row>
    <row r="272" spans="1:3" x14ac:dyDescent="0.2">
      <c r="B272" t="s">
        <v>137</v>
      </c>
      <c r="C272">
        <v>21106</v>
      </c>
    </row>
    <row r="273" spans="1:3" x14ac:dyDescent="0.2">
      <c r="B273" t="s">
        <v>138</v>
      </c>
      <c r="C273">
        <v>11138</v>
      </c>
    </row>
    <row r="274" spans="1:3" s="3" customFormat="1" x14ac:dyDescent="0.2">
      <c r="A274" s="3" t="s">
        <v>77</v>
      </c>
      <c r="C274" s="3">
        <v>220793</v>
      </c>
    </row>
    <row r="275" spans="1:3" x14ac:dyDescent="0.2">
      <c r="A275" t="s">
        <v>21</v>
      </c>
      <c r="B275" t="s">
        <v>126</v>
      </c>
      <c r="C275">
        <v>8075</v>
      </c>
    </row>
    <row r="276" spans="1:3" x14ac:dyDescent="0.2">
      <c r="B276" t="s">
        <v>125</v>
      </c>
      <c r="C276">
        <v>9686</v>
      </c>
    </row>
    <row r="277" spans="1:3" x14ac:dyDescent="0.2">
      <c r="B277" t="s">
        <v>129</v>
      </c>
      <c r="C277">
        <v>16660</v>
      </c>
    </row>
    <row r="278" spans="1:3" x14ac:dyDescent="0.2">
      <c r="B278" t="s">
        <v>130</v>
      </c>
      <c r="C278">
        <v>13122</v>
      </c>
    </row>
    <row r="279" spans="1:3" x14ac:dyDescent="0.2">
      <c r="B279" t="s">
        <v>131</v>
      </c>
      <c r="C279">
        <v>11950</v>
      </c>
    </row>
    <row r="280" spans="1:3" x14ac:dyDescent="0.2">
      <c r="B280" t="s">
        <v>132</v>
      </c>
      <c r="C280">
        <v>11954</v>
      </c>
    </row>
    <row r="281" spans="1:3" x14ac:dyDescent="0.2">
      <c r="B281" t="s">
        <v>133</v>
      </c>
      <c r="C281">
        <v>9590</v>
      </c>
    </row>
    <row r="282" spans="1:3" x14ac:dyDescent="0.2">
      <c r="B282" t="s">
        <v>134</v>
      </c>
      <c r="C282">
        <v>9092</v>
      </c>
    </row>
    <row r="283" spans="1:3" x14ac:dyDescent="0.2">
      <c r="B283" t="s">
        <v>135</v>
      </c>
      <c r="C283">
        <v>13475</v>
      </c>
    </row>
    <row r="284" spans="1:3" x14ac:dyDescent="0.2">
      <c r="B284" t="s">
        <v>136</v>
      </c>
      <c r="C284">
        <v>10898</v>
      </c>
    </row>
    <row r="285" spans="1:3" x14ac:dyDescent="0.2">
      <c r="B285" t="s">
        <v>137</v>
      </c>
      <c r="C285">
        <v>7719</v>
      </c>
    </row>
    <row r="286" spans="1:3" ht="13.75" customHeight="1" x14ac:dyDescent="0.2">
      <c r="B286" t="s">
        <v>138</v>
      </c>
      <c r="C286">
        <v>5115</v>
      </c>
    </row>
    <row r="287" spans="1:3" s="3" customFormat="1" x14ac:dyDescent="0.2">
      <c r="A287" s="3" t="s">
        <v>78</v>
      </c>
      <c r="C287" s="3">
        <v>127336</v>
      </c>
    </row>
    <row r="288" spans="1:3" x14ac:dyDescent="0.2">
      <c r="A288" t="s">
        <v>22</v>
      </c>
      <c r="B288" t="s">
        <v>126</v>
      </c>
      <c r="C288">
        <v>36956</v>
      </c>
    </row>
    <row r="289" spans="1:3" x14ac:dyDescent="0.2">
      <c r="B289" t="s">
        <v>125</v>
      </c>
      <c r="C289">
        <v>30362</v>
      </c>
    </row>
    <row r="290" spans="1:3" x14ac:dyDescent="0.2">
      <c r="B290" t="s">
        <v>129</v>
      </c>
      <c r="C290">
        <v>50480</v>
      </c>
    </row>
    <row r="291" spans="1:3" x14ac:dyDescent="0.2">
      <c r="B291" t="s">
        <v>130</v>
      </c>
      <c r="C291">
        <v>50902</v>
      </c>
    </row>
    <row r="292" spans="1:3" x14ac:dyDescent="0.2">
      <c r="B292" t="s">
        <v>131</v>
      </c>
      <c r="C292">
        <v>36301</v>
      </c>
    </row>
    <row r="293" spans="1:3" x14ac:dyDescent="0.2">
      <c r="B293" t="s">
        <v>132</v>
      </c>
      <c r="C293">
        <v>21651</v>
      </c>
    </row>
    <row r="294" spans="1:3" x14ac:dyDescent="0.2">
      <c r="B294" t="s">
        <v>133</v>
      </c>
      <c r="C294">
        <v>12172</v>
      </c>
    </row>
    <row r="295" spans="1:3" x14ac:dyDescent="0.2">
      <c r="B295" t="s">
        <v>134</v>
      </c>
      <c r="C295">
        <v>8760</v>
      </c>
    </row>
    <row r="296" spans="1:3" x14ac:dyDescent="0.2">
      <c r="B296" t="s">
        <v>135</v>
      </c>
      <c r="C296">
        <v>9525</v>
      </c>
    </row>
    <row r="297" spans="1:3" x14ac:dyDescent="0.2">
      <c r="B297" t="s">
        <v>136</v>
      </c>
      <c r="C297">
        <v>12653</v>
      </c>
    </row>
    <row r="298" spans="1:3" x14ac:dyDescent="0.2">
      <c r="B298" t="s">
        <v>137</v>
      </c>
      <c r="C298">
        <v>13658</v>
      </c>
    </row>
    <row r="299" spans="1:3" x14ac:dyDescent="0.2">
      <c r="B299" t="s">
        <v>138</v>
      </c>
      <c r="C299">
        <v>13186</v>
      </c>
    </row>
    <row r="300" spans="1:3" s="3" customFormat="1" x14ac:dyDescent="0.2">
      <c r="A300" s="3" t="s">
        <v>79</v>
      </c>
      <c r="C300" s="3">
        <v>296606</v>
      </c>
    </row>
    <row r="301" spans="1:3" x14ac:dyDescent="0.2">
      <c r="A301" t="s">
        <v>23</v>
      </c>
      <c r="B301" t="s">
        <v>126</v>
      </c>
      <c r="C301">
        <v>26671</v>
      </c>
    </row>
    <row r="302" spans="1:3" x14ac:dyDescent="0.2">
      <c r="B302" t="s">
        <v>125</v>
      </c>
      <c r="C302">
        <v>13947</v>
      </c>
    </row>
    <row r="303" spans="1:3" x14ac:dyDescent="0.2">
      <c r="B303" t="s">
        <v>129</v>
      </c>
      <c r="C303">
        <v>19298</v>
      </c>
    </row>
    <row r="304" spans="1:3" x14ac:dyDescent="0.2">
      <c r="B304" t="s">
        <v>130</v>
      </c>
      <c r="C304">
        <v>21497</v>
      </c>
    </row>
    <row r="305" spans="1:3" x14ac:dyDescent="0.2">
      <c r="B305" t="s">
        <v>131</v>
      </c>
      <c r="C305">
        <v>18491</v>
      </c>
    </row>
    <row r="306" spans="1:3" x14ac:dyDescent="0.2">
      <c r="B306" t="s">
        <v>132</v>
      </c>
      <c r="C306">
        <v>11843</v>
      </c>
    </row>
    <row r="307" spans="1:3" x14ac:dyDescent="0.2">
      <c r="B307" t="s">
        <v>133</v>
      </c>
      <c r="C307">
        <v>9021</v>
      </c>
    </row>
    <row r="308" spans="1:3" x14ac:dyDescent="0.2">
      <c r="B308" t="s">
        <v>134</v>
      </c>
      <c r="C308">
        <v>5632</v>
      </c>
    </row>
    <row r="309" spans="1:3" x14ac:dyDescent="0.2">
      <c r="B309" t="s">
        <v>135</v>
      </c>
      <c r="C309">
        <v>9704</v>
      </c>
    </row>
    <row r="310" spans="1:3" x14ac:dyDescent="0.2">
      <c r="B310" t="s">
        <v>136</v>
      </c>
      <c r="C310">
        <v>17110</v>
      </c>
    </row>
    <row r="311" spans="1:3" x14ac:dyDescent="0.2">
      <c r="B311" t="s">
        <v>137</v>
      </c>
      <c r="C311">
        <v>21982</v>
      </c>
    </row>
    <row r="312" spans="1:3" x14ac:dyDescent="0.2">
      <c r="B312" t="s">
        <v>138</v>
      </c>
      <c r="C312">
        <v>22882</v>
      </c>
    </row>
    <row r="313" spans="1:3" s="3" customFormat="1" x14ac:dyDescent="0.2">
      <c r="A313" s="3" t="s">
        <v>80</v>
      </c>
      <c r="C313" s="3">
        <v>198078</v>
      </c>
    </row>
    <row r="314" spans="1:3" x14ac:dyDescent="0.2">
      <c r="A314" t="s">
        <v>24</v>
      </c>
      <c r="B314" t="s">
        <v>126</v>
      </c>
      <c r="C314">
        <v>10515</v>
      </c>
    </row>
    <row r="315" spans="1:3" x14ac:dyDescent="0.2">
      <c r="B315" t="s">
        <v>125</v>
      </c>
      <c r="C315">
        <v>10865</v>
      </c>
    </row>
    <row r="316" spans="1:3" x14ac:dyDescent="0.2">
      <c r="B316" t="s">
        <v>129</v>
      </c>
      <c r="C316">
        <v>15913</v>
      </c>
    </row>
    <row r="317" spans="1:3" x14ac:dyDescent="0.2">
      <c r="B317" t="s">
        <v>130</v>
      </c>
      <c r="C317">
        <v>13565</v>
      </c>
    </row>
    <row r="318" spans="1:3" x14ac:dyDescent="0.2">
      <c r="B318" t="s">
        <v>131</v>
      </c>
      <c r="C318">
        <v>10174</v>
      </c>
    </row>
    <row r="319" spans="1:3" x14ac:dyDescent="0.2">
      <c r="B319" t="s">
        <v>132</v>
      </c>
      <c r="C319">
        <v>5333</v>
      </c>
    </row>
    <row r="320" spans="1:3" x14ac:dyDescent="0.2">
      <c r="B320" t="s">
        <v>133</v>
      </c>
      <c r="C320">
        <v>533</v>
      </c>
    </row>
    <row r="321" spans="1:3" x14ac:dyDescent="0.2">
      <c r="B321" t="s">
        <v>134</v>
      </c>
      <c r="C321">
        <v>187</v>
      </c>
    </row>
    <row r="322" spans="1:3" x14ac:dyDescent="0.2">
      <c r="B322" t="s">
        <v>135</v>
      </c>
      <c r="C322">
        <v>2932</v>
      </c>
    </row>
    <row r="323" spans="1:3" x14ac:dyDescent="0.2">
      <c r="B323" t="s">
        <v>136</v>
      </c>
      <c r="C323">
        <v>3619</v>
      </c>
    </row>
    <row r="324" spans="1:3" x14ac:dyDescent="0.2">
      <c r="B324" t="s">
        <v>137</v>
      </c>
      <c r="C324">
        <v>4327</v>
      </c>
    </row>
    <row r="325" spans="1:3" x14ac:dyDescent="0.2">
      <c r="B325" t="s">
        <v>138</v>
      </c>
      <c r="C325">
        <v>5102</v>
      </c>
    </row>
    <row r="326" spans="1:3" s="3" customFormat="1" x14ac:dyDescent="0.2">
      <c r="A326" s="3" t="s">
        <v>81</v>
      </c>
      <c r="C326" s="3">
        <v>83065</v>
      </c>
    </row>
    <row r="327" spans="1:3" x14ac:dyDescent="0.2">
      <c r="A327" t="s">
        <v>25</v>
      </c>
      <c r="B327" t="s">
        <v>126</v>
      </c>
      <c r="C327">
        <v>9311</v>
      </c>
    </row>
    <row r="328" spans="1:3" x14ac:dyDescent="0.2">
      <c r="B328" t="s">
        <v>125</v>
      </c>
      <c r="C328">
        <v>5679</v>
      </c>
    </row>
    <row r="329" spans="1:3" x14ac:dyDescent="0.2">
      <c r="B329" t="s">
        <v>129</v>
      </c>
      <c r="C329">
        <v>5768</v>
      </c>
    </row>
    <row r="330" spans="1:3" x14ac:dyDescent="0.2">
      <c r="B330" t="s">
        <v>130</v>
      </c>
      <c r="C330">
        <v>10694</v>
      </c>
    </row>
    <row r="331" spans="1:3" x14ac:dyDescent="0.2">
      <c r="B331" t="s">
        <v>131</v>
      </c>
      <c r="C331">
        <v>12499</v>
      </c>
    </row>
    <row r="332" spans="1:3" x14ac:dyDescent="0.2">
      <c r="B332" t="s">
        <v>132</v>
      </c>
      <c r="C332">
        <v>5846</v>
      </c>
    </row>
    <row r="333" spans="1:3" x14ac:dyDescent="0.2">
      <c r="B333" t="s">
        <v>133</v>
      </c>
      <c r="C333">
        <v>5311</v>
      </c>
    </row>
    <row r="334" spans="1:3" x14ac:dyDescent="0.2">
      <c r="B334" t="s">
        <v>134</v>
      </c>
      <c r="C334">
        <v>2906</v>
      </c>
    </row>
    <row r="335" spans="1:3" x14ac:dyDescent="0.2">
      <c r="B335" t="s">
        <v>135</v>
      </c>
      <c r="C335">
        <v>3062</v>
      </c>
    </row>
    <row r="336" spans="1:3" x14ac:dyDescent="0.2">
      <c r="B336" t="s">
        <v>136</v>
      </c>
      <c r="C336">
        <v>2908</v>
      </c>
    </row>
    <row r="337" spans="1:3" x14ac:dyDescent="0.2">
      <c r="B337" t="s">
        <v>137</v>
      </c>
      <c r="C337">
        <v>4402</v>
      </c>
    </row>
    <row r="338" spans="1:3" x14ac:dyDescent="0.2">
      <c r="B338" t="s">
        <v>138</v>
      </c>
      <c r="C338">
        <v>5698</v>
      </c>
    </row>
    <row r="339" spans="1:3" s="3" customFormat="1" x14ac:dyDescent="0.2">
      <c r="A339" s="3" t="s">
        <v>82</v>
      </c>
      <c r="C339" s="3">
        <v>74084</v>
      </c>
    </row>
    <row r="340" spans="1:3" x14ac:dyDescent="0.2">
      <c r="A340" t="s">
        <v>26</v>
      </c>
      <c r="B340" t="s">
        <v>126</v>
      </c>
      <c r="C340">
        <v>28417</v>
      </c>
    </row>
    <row r="341" spans="1:3" x14ac:dyDescent="0.2">
      <c r="B341" t="s">
        <v>125</v>
      </c>
      <c r="C341">
        <v>22274</v>
      </c>
    </row>
    <row r="342" spans="1:3" x14ac:dyDescent="0.2">
      <c r="B342" t="s">
        <v>129</v>
      </c>
      <c r="C342">
        <v>30708</v>
      </c>
    </row>
    <row r="343" spans="1:3" x14ac:dyDescent="0.2">
      <c r="B343" t="s">
        <v>130</v>
      </c>
      <c r="C343">
        <v>27410</v>
      </c>
    </row>
    <row r="344" spans="1:3" x14ac:dyDescent="0.2">
      <c r="B344" t="s">
        <v>131</v>
      </c>
      <c r="C344">
        <v>23331</v>
      </c>
    </row>
    <row r="345" spans="1:3" x14ac:dyDescent="0.2">
      <c r="B345" t="s">
        <v>132</v>
      </c>
      <c r="C345">
        <v>19874</v>
      </c>
    </row>
    <row r="346" spans="1:3" x14ac:dyDescent="0.2">
      <c r="B346" t="s">
        <v>133</v>
      </c>
      <c r="C346">
        <v>16115</v>
      </c>
    </row>
    <row r="347" spans="1:3" x14ac:dyDescent="0.2">
      <c r="B347" t="s">
        <v>134</v>
      </c>
      <c r="C347">
        <v>15246</v>
      </c>
    </row>
    <row r="348" spans="1:3" x14ac:dyDescent="0.2">
      <c r="B348" t="s">
        <v>135</v>
      </c>
      <c r="C348">
        <v>20922</v>
      </c>
    </row>
    <row r="349" spans="1:3" x14ac:dyDescent="0.2">
      <c r="B349" t="s">
        <v>136</v>
      </c>
      <c r="C349">
        <v>19286</v>
      </c>
    </row>
    <row r="350" spans="1:3" x14ac:dyDescent="0.2">
      <c r="B350" t="s">
        <v>137</v>
      </c>
      <c r="C350">
        <v>12525</v>
      </c>
    </row>
    <row r="351" spans="1:3" x14ac:dyDescent="0.2">
      <c r="B351" t="s">
        <v>138</v>
      </c>
      <c r="C351">
        <v>10911</v>
      </c>
    </row>
    <row r="352" spans="1:3" s="3" customFormat="1" x14ac:dyDescent="0.2">
      <c r="A352" s="3" t="s">
        <v>83</v>
      </c>
      <c r="C352" s="3">
        <v>247019</v>
      </c>
    </row>
    <row r="353" spans="1:3" x14ac:dyDescent="0.2">
      <c r="A353" t="s">
        <v>27</v>
      </c>
      <c r="B353" t="s">
        <v>126</v>
      </c>
      <c r="C353">
        <v>27951</v>
      </c>
    </row>
    <row r="354" spans="1:3" x14ac:dyDescent="0.2">
      <c r="B354" t="s">
        <v>125</v>
      </c>
      <c r="C354">
        <v>18058</v>
      </c>
    </row>
    <row r="355" spans="1:3" x14ac:dyDescent="0.2">
      <c r="B355" t="s">
        <v>129</v>
      </c>
      <c r="C355">
        <v>22941</v>
      </c>
    </row>
    <row r="356" spans="1:3" x14ac:dyDescent="0.2">
      <c r="B356" t="s">
        <v>130</v>
      </c>
      <c r="C356">
        <v>27509</v>
      </c>
    </row>
    <row r="357" spans="1:3" x14ac:dyDescent="0.2">
      <c r="B357" t="s">
        <v>131</v>
      </c>
      <c r="C357">
        <v>27766</v>
      </c>
    </row>
    <row r="358" spans="1:3" x14ac:dyDescent="0.2">
      <c r="B358" t="s">
        <v>132</v>
      </c>
      <c r="C358">
        <v>12185</v>
      </c>
    </row>
    <row r="359" spans="1:3" x14ac:dyDescent="0.2">
      <c r="B359" t="s">
        <v>133</v>
      </c>
      <c r="C359">
        <v>9247</v>
      </c>
    </row>
    <row r="360" spans="1:3" x14ac:dyDescent="0.2">
      <c r="B360" t="s">
        <v>134</v>
      </c>
      <c r="C360">
        <v>7822</v>
      </c>
    </row>
    <row r="361" spans="1:3" x14ac:dyDescent="0.2">
      <c r="B361" t="s">
        <v>135</v>
      </c>
      <c r="C361">
        <v>9378</v>
      </c>
    </row>
    <row r="362" spans="1:3" x14ac:dyDescent="0.2">
      <c r="B362" t="s">
        <v>136</v>
      </c>
      <c r="C362">
        <v>10440</v>
      </c>
    </row>
    <row r="363" spans="1:3" x14ac:dyDescent="0.2">
      <c r="B363" t="s">
        <v>137</v>
      </c>
      <c r="C363">
        <v>11371</v>
      </c>
    </row>
    <row r="364" spans="1:3" x14ac:dyDescent="0.2">
      <c r="B364" t="s">
        <v>138</v>
      </c>
      <c r="C364">
        <v>15650</v>
      </c>
    </row>
    <row r="365" spans="1:3" s="3" customFormat="1" x14ac:dyDescent="0.2">
      <c r="A365" s="3" t="s">
        <v>84</v>
      </c>
      <c r="C365" s="3">
        <v>200318</v>
      </c>
    </row>
    <row r="366" spans="1:3" x14ac:dyDescent="0.2">
      <c r="A366" t="s">
        <v>28</v>
      </c>
      <c r="B366" t="s">
        <v>126</v>
      </c>
      <c r="C366">
        <v>48986</v>
      </c>
    </row>
    <row r="367" spans="1:3" x14ac:dyDescent="0.2">
      <c r="B367" t="s">
        <v>125</v>
      </c>
      <c r="C367">
        <v>37964</v>
      </c>
    </row>
    <row r="368" spans="1:3" x14ac:dyDescent="0.2">
      <c r="B368" t="s">
        <v>129</v>
      </c>
      <c r="C368">
        <v>38174</v>
      </c>
    </row>
    <row r="369" spans="1:3" x14ac:dyDescent="0.2">
      <c r="B369" t="s">
        <v>130</v>
      </c>
      <c r="C369">
        <v>44339</v>
      </c>
    </row>
    <row r="370" spans="1:3" x14ac:dyDescent="0.2">
      <c r="B370" t="s">
        <v>131</v>
      </c>
      <c r="C370">
        <v>42411</v>
      </c>
    </row>
    <row r="371" spans="1:3" x14ac:dyDescent="0.2">
      <c r="B371" t="s">
        <v>132</v>
      </c>
      <c r="C371">
        <v>26897</v>
      </c>
    </row>
    <row r="372" spans="1:3" x14ac:dyDescent="0.2">
      <c r="B372" t="s">
        <v>133</v>
      </c>
      <c r="C372">
        <v>16188</v>
      </c>
    </row>
    <row r="373" spans="1:3" x14ac:dyDescent="0.2">
      <c r="B373" t="s">
        <v>134</v>
      </c>
      <c r="C373">
        <v>9089</v>
      </c>
    </row>
    <row r="374" spans="1:3" x14ac:dyDescent="0.2">
      <c r="B374" t="s">
        <v>135</v>
      </c>
      <c r="C374">
        <v>18004</v>
      </c>
    </row>
    <row r="375" spans="1:3" x14ac:dyDescent="0.2">
      <c r="B375" t="s">
        <v>136</v>
      </c>
      <c r="C375">
        <v>19121</v>
      </c>
    </row>
    <row r="376" spans="1:3" x14ac:dyDescent="0.2">
      <c r="B376" t="s">
        <v>137</v>
      </c>
      <c r="C376">
        <v>20319</v>
      </c>
    </row>
    <row r="377" spans="1:3" x14ac:dyDescent="0.2">
      <c r="B377" t="s">
        <v>138</v>
      </c>
      <c r="C377">
        <v>20927</v>
      </c>
    </row>
    <row r="378" spans="1:3" s="3" customFormat="1" x14ac:dyDescent="0.2">
      <c r="A378" s="3" t="s">
        <v>85</v>
      </c>
      <c r="C378" s="3">
        <v>342419</v>
      </c>
    </row>
    <row r="379" spans="1:3" x14ac:dyDescent="0.2">
      <c r="A379" s="24" t="s">
        <v>128</v>
      </c>
      <c r="B379" s="24" t="s">
        <v>44</v>
      </c>
      <c r="C379" s="23">
        <f>SUM(C14,C27,C40,C53,C66,C79,C92,C105,C118,C131,C144,C157,C170,C183,C196,C209,C222,C235,C248,C261,C274,C287,C300,C313,C326,C339,C352,C365,C378)</f>
        <v>7167654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78"/>
  <sheetViews>
    <sheetView topLeftCell="A349" workbookViewId="0">
      <selection activeCell="D1" sqref="D1:E1048576"/>
    </sheetView>
  </sheetViews>
  <sheetFormatPr baseColWidth="10" defaultColWidth="8.83203125" defaultRowHeight="15" x14ac:dyDescent="0.2"/>
  <cols>
    <col min="1" max="1" width="16.83203125" customWidth="1"/>
    <col min="2" max="2" width="15.5" customWidth="1"/>
    <col min="3" max="3" width="14.33203125" customWidth="1"/>
  </cols>
  <sheetData>
    <row r="1" spans="1:3" x14ac:dyDescent="0.2">
      <c r="A1" s="24" t="s">
        <v>30</v>
      </c>
      <c r="B1" s="24" t="s">
        <v>43</v>
      </c>
      <c r="C1" s="20" t="s">
        <v>127</v>
      </c>
    </row>
    <row r="2" spans="1:3" x14ac:dyDescent="0.2">
      <c r="A2" s="34" t="s">
        <v>0</v>
      </c>
      <c r="B2" s="34" t="s">
        <v>139</v>
      </c>
      <c r="C2" s="34">
        <v>11565</v>
      </c>
    </row>
    <row r="3" spans="1:3" x14ac:dyDescent="0.2">
      <c r="A3" s="35"/>
      <c r="B3" s="36" t="s">
        <v>140</v>
      </c>
      <c r="C3" s="36">
        <v>8645</v>
      </c>
    </row>
    <row r="4" spans="1:3" s="3" customFormat="1" x14ac:dyDescent="0.2">
      <c r="A4" s="35"/>
      <c r="B4" s="36" t="s">
        <v>141</v>
      </c>
      <c r="C4" s="36">
        <v>19870</v>
      </c>
    </row>
    <row r="5" spans="1:3" x14ac:dyDescent="0.2">
      <c r="A5" s="35"/>
      <c r="B5" s="36" t="s">
        <v>142</v>
      </c>
      <c r="C5" s="36">
        <v>20289</v>
      </c>
    </row>
    <row r="6" spans="1:3" x14ac:dyDescent="0.2">
      <c r="A6" s="35"/>
      <c r="B6" s="36" t="s">
        <v>143</v>
      </c>
      <c r="C6" s="36">
        <v>24716</v>
      </c>
    </row>
    <row r="7" spans="1:3" x14ac:dyDescent="0.2">
      <c r="A7" s="35"/>
      <c r="B7" s="36" t="s">
        <v>144</v>
      </c>
      <c r="C7" s="36">
        <v>17260</v>
      </c>
    </row>
    <row r="8" spans="1:3" s="3" customFormat="1" x14ac:dyDescent="0.2">
      <c r="A8" s="35"/>
      <c r="B8" s="36" t="s">
        <v>145</v>
      </c>
      <c r="C8" s="36">
        <v>11803</v>
      </c>
    </row>
    <row r="9" spans="1:3" x14ac:dyDescent="0.2">
      <c r="A9" s="35"/>
      <c r="B9" s="36" t="s">
        <v>146</v>
      </c>
      <c r="C9" s="36">
        <v>8474</v>
      </c>
    </row>
    <row r="10" spans="1:3" x14ac:dyDescent="0.2">
      <c r="A10" s="35"/>
      <c r="B10" s="36" t="s">
        <v>147</v>
      </c>
      <c r="C10" s="36">
        <v>9997</v>
      </c>
    </row>
    <row r="11" spans="1:3" x14ac:dyDescent="0.2">
      <c r="A11" s="35"/>
      <c r="B11" s="36" t="s">
        <v>148</v>
      </c>
      <c r="C11" s="36">
        <v>7953</v>
      </c>
    </row>
    <row r="12" spans="1:3" s="3" customFormat="1" x14ac:dyDescent="0.2">
      <c r="A12" s="35"/>
      <c r="B12" s="36" t="s">
        <v>149</v>
      </c>
      <c r="C12" s="36">
        <v>5577</v>
      </c>
    </row>
    <row r="13" spans="1:3" x14ac:dyDescent="0.2">
      <c r="A13" s="35"/>
      <c r="B13" s="36" t="s">
        <v>150</v>
      </c>
      <c r="C13" s="36">
        <v>3521</v>
      </c>
    </row>
    <row r="14" spans="1:3" x14ac:dyDescent="0.2">
      <c r="A14" s="34" t="s">
        <v>57</v>
      </c>
      <c r="B14" s="37"/>
      <c r="C14" s="34">
        <v>149670</v>
      </c>
    </row>
    <row r="15" spans="1:3" x14ac:dyDescent="0.2">
      <c r="A15" s="34" t="s">
        <v>1</v>
      </c>
      <c r="B15" s="34" t="s">
        <v>139</v>
      </c>
      <c r="C15" s="34">
        <v>39578</v>
      </c>
    </row>
    <row r="16" spans="1:3" s="3" customFormat="1" x14ac:dyDescent="0.2">
      <c r="A16" s="35"/>
      <c r="B16" s="36" t="s">
        <v>140</v>
      </c>
      <c r="C16" s="36">
        <v>33333</v>
      </c>
    </row>
    <row r="17" spans="1:3" x14ac:dyDescent="0.2">
      <c r="A17" s="35"/>
      <c r="B17" s="36" t="s">
        <v>141</v>
      </c>
      <c r="C17" s="36">
        <v>41737</v>
      </c>
    </row>
    <row r="18" spans="1:3" x14ac:dyDescent="0.2">
      <c r="A18" s="35"/>
      <c r="B18" s="36" t="s">
        <v>142</v>
      </c>
      <c r="C18" s="36">
        <v>39850</v>
      </c>
    </row>
    <row r="19" spans="1:3" x14ac:dyDescent="0.2">
      <c r="A19" s="35"/>
      <c r="B19" s="36" t="s">
        <v>143</v>
      </c>
      <c r="C19" s="36">
        <v>34748</v>
      </c>
    </row>
    <row r="20" spans="1:3" s="3" customFormat="1" x14ac:dyDescent="0.2">
      <c r="A20" s="35"/>
      <c r="B20" s="36" t="s">
        <v>144</v>
      </c>
      <c r="C20" s="36">
        <v>24968</v>
      </c>
    </row>
    <row r="21" spans="1:3" x14ac:dyDescent="0.2">
      <c r="A21" s="35"/>
      <c r="B21" s="36" t="s">
        <v>145</v>
      </c>
      <c r="C21" s="36">
        <v>19516</v>
      </c>
    </row>
    <row r="22" spans="1:3" x14ac:dyDescent="0.2">
      <c r="A22" s="35"/>
      <c r="B22" s="36" t="s">
        <v>146</v>
      </c>
      <c r="C22" s="36">
        <v>13094</v>
      </c>
    </row>
    <row r="23" spans="1:3" x14ac:dyDescent="0.2">
      <c r="A23" s="35"/>
      <c r="B23" s="36" t="s">
        <v>147</v>
      </c>
      <c r="C23" s="36">
        <v>12996</v>
      </c>
    </row>
    <row r="24" spans="1:3" s="3" customFormat="1" x14ac:dyDescent="0.2">
      <c r="A24" s="35"/>
      <c r="B24" s="36" t="s">
        <v>148</v>
      </c>
      <c r="C24" s="36">
        <v>14312</v>
      </c>
    </row>
    <row r="25" spans="1:3" x14ac:dyDescent="0.2">
      <c r="A25" s="35"/>
      <c r="B25" s="36" t="s">
        <v>149</v>
      </c>
      <c r="C25" s="36">
        <v>9145</v>
      </c>
    </row>
    <row r="26" spans="1:3" x14ac:dyDescent="0.2">
      <c r="A26" s="35"/>
      <c r="B26" s="36" t="s">
        <v>150</v>
      </c>
      <c r="C26" s="36">
        <v>11427</v>
      </c>
    </row>
    <row r="27" spans="1:3" x14ac:dyDescent="0.2">
      <c r="A27" s="34" t="s">
        <v>58</v>
      </c>
      <c r="B27" s="37"/>
      <c r="C27" s="34">
        <v>294704</v>
      </c>
    </row>
    <row r="28" spans="1:3" s="3" customFormat="1" x14ac:dyDescent="0.2">
      <c r="A28" s="34" t="s">
        <v>2</v>
      </c>
      <c r="B28" s="34" t="s">
        <v>139</v>
      </c>
      <c r="C28" s="34">
        <v>16626</v>
      </c>
    </row>
    <row r="29" spans="1:3" x14ac:dyDescent="0.2">
      <c r="A29" s="35"/>
      <c r="B29" s="36" t="s">
        <v>140</v>
      </c>
      <c r="C29" s="36">
        <v>27282</v>
      </c>
    </row>
    <row r="30" spans="1:3" x14ac:dyDescent="0.2">
      <c r="A30" s="35"/>
      <c r="B30" s="36" t="s">
        <v>141</v>
      </c>
      <c r="C30" s="36">
        <v>27688</v>
      </c>
    </row>
    <row r="31" spans="1:3" x14ac:dyDescent="0.2">
      <c r="A31" s="35"/>
      <c r="B31" s="36" t="s">
        <v>142</v>
      </c>
      <c r="C31" s="36">
        <v>32168</v>
      </c>
    </row>
    <row r="32" spans="1:3" s="3" customFormat="1" x14ac:dyDescent="0.2">
      <c r="A32" s="35"/>
      <c r="B32" s="36" t="s">
        <v>143</v>
      </c>
      <c r="C32" s="36">
        <v>33376</v>
      </c>
    </row>
    <row r="33" spans="1:3" x14ac:dyDescent="0.2">
      <c r="A33" s="35"/>
      <c r="B33" s="36" t="s">
        <v>144</v>
      </c>
      <c r="C33" s="36">
        <v>28621</v>
      </c>
    </row>
    <row r="34" spans="1:3" x14ac:dyDescent="0.2">
      <c r="A34" s="35"/>
      <c r="B34" s="36" t="s">
        <v>145</v>
      </c>
      <c r="C34" s="36">
        <v>24796</v>
      </c>
    </row>
    <row r="35" spans="1:3" x14ac:dyDescent="0.2">
      <c r="A35" s="35"/>
      <c r="B35" s="36" t="s">
        <v>146</v>
      </c>
      <c r="C35" s="36">
        <v>21508</v>
      </c>
    </row>
    <row r="36" spans="1:3" s="3" customFormat="1" x14ac:dyDescent="0.2">
      <c r="A36" s="35"/>
      <c r="B36" s="36" t="s">
        <v>147</v>
      </c>
      <c r="C36" s="36">
        <v>20482</v>
      </c>
    </row>
    <row r="37" spans="1:3" x14ac:dyDescent="0.2">
      <c r="A37" s="35"/>
      <c r="B37" s="36" t="s">
        <v>148</v>
      </c>
      <c r="C37" s="36">
        <v>13589</v>
      </c>
    </row>
    <row r="38" spans="1:3" x14ac:dyDescent="0.2">
      <c r="A38" s="35"/>
      <c r="B38" s="36" t="s">
        <v>149</v>
      </c>
      <c r="C38" s="36">
        <v>7295</v>
      </c>
    </row>
    <row r="39" spans="1:3" x14ac:dyDescent="0.2">
      <c r="A39" s="35"/>
      <c r="B39" s="36" t="s">
        <v>150</v>
      </c>
      <c r="C39" s="36">
        <v>7535</v>
      </c>
    </row>
    <row r="40" spans="1:3" s="3" customFormat="1" x14ac:dyDescent="0.2">
      <c r="A40" s="34" t="s">
        <v>59</v>
      </c>
      <c r="B40" s="37"/>
      <c r="C40" s="34">
        <v>260966</v>
      </c>
    </row>
    <row r="41" spans="1:3" x14ac:dyDescent="0.2">
      <c r="A41" s="34" t="s">
        <v>3</v>
      </c>
      <c r="B41" s="34" t="s">
        <v>139</v>
      </c>
      <c r="C41" s="34">
        <v>6291</v>
      </c>
    </row>
    <row r="42" spans="1:3" x14ac:dyDescent="0.2">
      <c r="A42" s="35"/>
      <c r="B42" s="36" t="s">
        <v>140</v>
      </c>
      <c r="C42" s="36">
        <v>4870</v>
      </c>
    </row>
    <row r="43" spans="1:3" x14ac:dyDescent="0.2">
      <c r="A43" s="35"/>
      <c r="B43" s="36" t="s">
        <v>141</v>
      </c>
      <c r="C43" s="36">
        <v>14108</v>
      </c>
    </row>
    <row r="44" spans="1:3" s="3" customFormat="1" x14ac:dyDescent="0.2">
      <c r="A44" s="35"/>
      <c r="B44" s="36" t="s">
        <v>142</v>
      </c>
      <c r="C44" s="36">
        <v>12211</v>
      </c>
    </row>
    <row r="45" spans="1:3" x14ac:dyDescent="0.2">
      <c r="A45" s="35"/>
      <c r="B45" s="36" t="s">
        <v>143</v>
      </c>
      <c r="C45" s="36">
        <v>8927</v>
      </c>
    </row>
    <row r="46" spans="1:3" x14ac:dyDescent="0.2">
      <c r="A46" s="35"/>
      <c r="B46" s="36" t="s">
        <v>144</v>
      </c>
      <c r="C46" s="36">
        <v>5509</v>
      </c>
    </row>
    <row r="47" spans="1:3" x14ac:dyDescent="0.2">
      <c r="A47" s="35"/>
      <c r="B47" s="36" t="s">
        <v>145</v>
      </c>
      <c r="C47" s="36">
        <v>2135</v>
      </c>
    </row>
    <row r="48" spans="1:3" s="3" customFormat="1" x14ac:dyDescent="0.2">
      <c r="A48" s="35"/>
      <c r="B48" s="36" t="s">
        <v>146</v>
      </c>
      <c r="C48" s="36">
        <v>924</v>
      </c>
    </row>
    <row r="49" spans="1:3" x14ac:dyDescent="0.2">
      <c r="A49" s="35"/>
      <c r="B49" s="36" t="s">
        <v>147</v>
      </c>
      <c r="C49" s="36">
        <v>1025</v>
      </c>
    </row>
    <row r="50" spans="1:3" x14ac:dyDescent="0.2">
      <c r="A50" s="35"/>
      <c r="B50" s="36" t="s">
        <v>148</v>
      </c>
      <c r="C50" s="36">
        <v>1067</v>
      </c>
    </row>
    <row r="51" spans="1:3" x14ac:dyDescent="0.2">
      <c r="A51" s="35"/>
      <c r="B51" s="36" t="s">
        <v>149</v>
      </c>
      <c r="C51" s="36">
        <v>1049</v>
      </c>
    </row>
    <row r="52" spans="1:3" s="3" customFormat="1" x14ac:dyDescent="0.2">
      <c r="A52" s="35"/>
      <c r="B52" s="36" t="s">
        <v>150</v>
      </c>
      <c r="C52" s="36">
        <v>1211</v>
      </c>
    </row>
    <row r="53" spans="1:3" x14ac:dyDescent="0.2">
      <c r="A53" s="34" t="s">
        <v>60</v>
      </c>
      <c r="B53" s="37"/>
      <c r="C53" s="34">
        <v>59327</v>
      </c>
    </row>
    <row r="54" spans="1:3" x14ac:dyDescent="0.2">
      <c r="A54" s="34" t="s">
        <v>4</v>
      </c>
      <c r="B54" s="34" t="s">
        <v>139</v>
      </c>
      <c r="C54" s="34">
        <v>7844</v>
      </c>
    </row>
    <row r="55" spans="1:3" x14ac:dyDescent="0.2">
      <c r="A55" s="35"/>
      <c r="B55" s="36" t="s">
        <v>140</v>
      </c>
      <c r="C55" s="36">
        <v>5497</v>
      </c>
    </row>
    <row r="56" spans="1:3" s="3" customFormat="1" x14ac:dyDescent="0.2">
      <c r="A56" s="35"/>
      <c r="B56" s="36" t="s">
        <v>141</v>
      </c>
      <c r="C56" s="36">
        <v>7924</v>
      </c>
    </row>
    <row r="57" spans="1:3" x14ac:dyDescent="0.2">
      <c r="A57" s="35"/>
      <c r="B57" s="36" t="s">
        <v>142</v>
      </c>
      <c r="C57" s="36">
        <v>12414</v>
      </c>
    </row>
    <row r="58" spans="1:3" x14ac:dyDescent="0.2">
      <c r="A58" s="35"/>
      <c r="B58" s="36" t="s">
        <v>143</v>
      </c>
      <c r="C58" s="36">
        <v>11310</v>
      </c>
    </row>
    <row r="59" spans="1:3" x14ac:dyDescent="0.2">
      <c r="A59" s="35"/>
      <c r="B59" s="36" t="s">
        <v>144</v>
      </c>
      <c r="C59" s="36">
        <v>9430</v>
      </c>
    </row>
    <row r="60" spans="1:3" s="3" customFormat="1" x14ac:dyDescent="0.2">
      <c r="A60" s="35"/>
      <c r="B60" s="36" t="s">
        <v>145</v>
      </c>
      <c r="C60" s="36">
        <v>3941</v>
      </c>
    </row>
    <row r="61" spans="1:3" x14ac:dyDescent="0.2">
      <c r="A61" s="35"/>
      <c r="B61" s="36" t="s">
        <v>146</v>
      </c>
      <c r="C61" s="36">
        <v>2393</v>
      </c>
    </row>
    <row r="62" spans="1:3" x14ac:dyDescent="0.2">
      <c r="A62" s="35"/>
      <c r="B62" s="36" t="s">
        <v>147</v>
      </c>
      <c r="C62" s="36">
        <v>2631</v>
      </c>
    </row>
    <row r="63" spans="1:3" x14ac:dyDescent="0.2">
      <c r="A63" s="35"/>
      <c r="B63" s="36" t="s">
        <v>148</v>
      </c>
      <c r="C63" s="36">
        <v>2971</v>
      </c>
    </row>
    <row r="64" spans="1:3" s="3" customFormat="1" x14ac:dyDescent="0.2">
      <c r="A64" s="35"/>
      <c r="B64" s="36" t="s">
        <v>149</v>
      </c>
      <c r="C64" s="36">
        <v>2844</v>
      </c>
    </row>
    <row r="65" spans="1:3" x14ac:dyDescent="0.2">
      <c r="A65" s="35"/>
      <c r="B65" s="36" t="s">
        <v>150</v>
      </c>
      <c r="C65" s="36">
        <v>3532</v>
      </c>
    </row>
    <row r="66" spans="1:3" x14ac:dyDescent="0.2">
      <c r="A66" s="34" t="s">
        <v>61</v>
      </c>
      <c r="B66" s="37"/>
      <c r="C66" s="34">
        <v>72731</v>
      </c>
    </row>
    <row r="67" spans="1:3" x14ac:dyDescent="0.2">
      <c r="A67" s="34" t="s">
        <v>5</v>
      </c>
      <c r="B67" s="34" t="s">
        <v>139</v>
      </c>
      <c r="C67" s="34">
        <v>42765</v>
      </c>
    </row>
    <row r="68" spans="1:3" s="3" customFormat="1" x14ac:dyDescent="0.2">
      <c r="A68" s="35"/>
      <c r="B68" s="36" t="s">
        <v>140</v>
      </c>
      <c r="C68" s="36">
        <v>41265</v>
      </c>
    </row>
    <row r="69" spans="1:3" x14ac:dyDescent="0.2">
      <c r="A69" s="35"/>
      <c r="B69" s="36" t="s">
        <v>141</v>
      </c>
      <c r="C69" s="36">
        <v>45260</v>
      </c>
    </row>
    <row r="70" spans="1:3" x14ac:dyDescent="0.2">
      <c r="A70" s="35"/>
      <c r="B70" s="36" t="s">
        <v>142</v>
      </c>
      <c r="C70" s="36">
        <v>25418</v>
      </c>
    </row>
    <row r="71" spans="1:3" x14ac:dyDescent="0.2">
      <c r="A71" s="35"/>
      <c r="B71" s="36" t="s">
        <v>143</v>
      </c>
      <c r="C71" s="36">
        <v>19530</v>
      </c>
    </row>
    <row r="72" spans="1:3" s="3" customFormat="1" x14ac:dyDescent="0.2">
      <c r="A72" s="35"/>
      <c r="B72" s="36" t="s">
        <v>144</v>
      </c>
      <c r="C72" s="36">
        <v>12300</v>
      </c>
    </row>
    <row r="73" spans="1:3" x14ac:dyDescent="0.2">
      <c r="A73" s="35"/>
      <c r="B73" s="36" t="s">
        <v>145</v>
      </c>
      <c r="C73" s="36">
        <v>7532</v>
      </c>
    </row>
    <row r="74" spans="1:3" x14ac:dyDescent="0.2">
      <c r="A74" s="35"/>
      <c r="B74" s="36" t="s">
        <v>146</v>
      </c>
      <c r="C74" s="36">
        <v>5854</v>
      </c>
    </row>
    <row r="75" spans="1:3" x14ac:dyDescent="0.2">
      <c r="A75" s="35"/>
      <c r="B75" s="36" t="s">
        <v>147</v>
      </c>
      <c r="C75" s="36">
        <v>7496</v>
      </c>
    </row>
    <row r="76" spans="1:3" s="3" customFormat="1" x14ac:dyDescent="0.2">
      <c r="A76" s="35"/>
      <c r="B76" s="36" t="s">
        <v>148</v>
      </c>
      <c r="C76" s="36">
        <v>9644</v>
      </c>
    </row>
    <row r="77" spans="1:3" x14ac:dyDescent="0.2">
      <c r="A77" s="35"/>
      <c r="B77" s="36" t="s">
        <v>149</v>
      </c>
      <c r="C77" s="36">
        <v>12867</v>
      </c>
    </row>
    <row r="78" spans="1:3" x14ac:dyDescent="0.2">
      <c r="A78" s="35"/>
      <c r="B78" s="36" t="s">
        <v>150</v>
      </c>
      <c r="C78" s="36">
        <v>17244</v>
      </c>
    </row>
    <row r="79" spans="1:3" x14ac:dyDescent="0.2">
      <c r="A79" s="34" t="s">
        <v>62</v>
      </c>
      <c r="B79" s="37"/>
      <c r="C79" s="34">
        <v>247175</v>
      </c>
    </row>
    <row r="80" spans="1:3" s="3" customFormat="1" ht="13.75" customHeight="1" x14ac:dyDescent="0.2">
      <c r="A80" s="34" t="s">
        <v>6</v>
      </c>
      <c r="B80" s="34" t="s">
        <v>139</v>
      </c>
      <c r="C80" s="34">
        <v>75104</v>
      </c>
    </row>
    <row r="81" spans="1:3" x14ac:dyDescent="0.2">
      <c r="A81" s="35"/>
      <c r="B81" s="36" t="s">
        <v>140</v>
      </c>
      <c r="C81" s="36">
        <v>58703</v>
      </c>
    </row>
    <row r="82" spans="1:3" x14ac:dyDescent="0.2">
      <c r="A82" s="35"/>
      <c r="B82" s="36" t="s">
        <v>141</v>
      </c>
      <c r="C82" s="36">
        <v>70799</v>
      </c>
    </row>
    <row r="83" spans="1:3" x14ac:dyDescent="0.2">
      <c r="A83" s="35"/>
      <c r="B83" s="36" t="s">
        <v>142</v>
      </c>
      <c r="C83" s="36">
        <v>50784</v>
      </c>
    </row>
    <row r="84" spans="1:3" s="3" customFormat="1" x14ac:dyDescent="0.2">
      <c r="A84" s="35"/>
      <c r="B84" s="36" t="s">
        <v>143</v>
      </c>
      <c r="C84" s="36">
        <v>42023</v>
      </c>
    </row>
    <row r="85" spans="1:3" x14ac:dyDescent="0.2">
      <c r="A85" s="35"/>
      <c r="B85" s="36" t="s">
        <v>144</v>
      </c>
      <c r="C85" s="36">
        <v>29690</v>
      </c>
    </row>
    <row r="86" spans="1:3" x14ac:dyDescent="0.2">
      <c r="A86" s="35"/>
      <c r="B86" s="36" t="s">
        <v>145</v>
      </c>
      <c r="C86" s="36">
        <v>15067</v>
      </c>
    </row>
    <row r="87" spans="1:3" x14ac:dyDescent="0.2">
      <c r="A87" s="35"/>
      <c r="B87" s="36" t="s">
        <v>146</v>
      </c>
      <c r="C87" s="36">
        <v>7926</v>
      </c>
    </row>
    <row r="88" spans="1:3" s="3" customFormat="1" x14ac:dyDescent="0.2">
      <c r="A88" s="35"/>
      <c r="B88" s="36" t="s">
        <v>147</v>
      </c>
      <c r="C88" s="36">
        <v>12765</v>
      </c>
    </row>
    <row r="89" spans="1:3" x14ac:dyDescent="0.2">
      <c r="A89" s="35"/>
      <c r="B89" s="36" t="s">
        <v>148</v>
      </c>
      <c r="C89" s="36">
        <v>18007</v>
      </c>
    </row>
    <row r="90" spans="1:3" x14ac:dyDescent="0.2">
      <c r="A90" s="35"/>
      <c r="B90" s="36" t="s">
        <v>149</v>
      </c>
      <c r="C90" s="36">
        <v>21386</v>
      </c>
    </row>
    <row r="91" spans="1:3" x14ac:dyDescent="0.2">
      <c r="A91" s="35"/>
      <c r="B91" s="36" t="s">
        <v>150</v>
      </c>
      <c r="C91" s="36">
        <v>27817</v>
      </c>
    </row>
    <row r="92" spans="1:3" s="3" customFormat="1" x14ac:dyDescent="0.2">
      <c r="A92" s="34" t="s">
        <v>63</v>
      </c>
      <c r="B92" s="37"/>
      <c r="C92" s="34">
        <v>430071</v>
      </c>
    </row>
    <row r="93" spans="1:3" x14ac:dyDescent="0.2">
      <c r="A93" s="34" t="s">
        <v>7</v>
      </c>
      <c r="B93" s="34" t="s">
        <v>139</v>
      </c>
      <c r="C93" s="34">
        <v>16981</v>
      </c>
    </row>
    <row r="94" spans="1:3" x14ac:dyDescent="0.2">
      <c r="A94" s="35"/>
      <c r="B94" s="36" t="s">
        <v>140</v>
      </c>
      <c r="C94" s="36">
        <v>10992</v>
      </c>
    </row>
    <row r="95" spans="1:3" x14ac:dyDescent="0.2">
      <c r="A95" s="35"/>
      <c r="B95" s="36" t="s">
        <v>141</v>
      </c>
      <c r="C95" s="36">
        <v>14986</v>
      </c>
    </row>
    <row r="96" spans="1:3" s="3" customFormat="1" x14ac:dyDescent="0.2">
      <c r="A96" s="35"/>
      <c r="B96" s="36" t="s">
        <v>142</v>
      </c>
      <c r="C96" s="36">
        <v>11317</v>
      </c>
    </row>
    <row r="97" spans="1:3" x14ac:dyDescent="0.2">
      <c r="A97" s="35"/>
      <c r="B97" s="36" t="s">
        <v>143</v>
      </c>
      <c r="C97" s="36">
        <v>12608</v>
      </c>
    </row>
    <row r="98" spans="1:3" x14ac:dyDescent="0.2">
      <c r="A98" s="35"/>
      <c r="B98" s="36" t="s">
        <v>144</v>
      </c>
      <c r="C98" s="36">
        <v>13878</v>
      </c>
    </row>
    <row r="99" spans="1:3" x14ac:dyDescent="0.2">
      <c r="A99" s="35"/>
      <c r="B99" s="36" t="s">
        <v>145</v>
      </c>
      <c r="C99" s="36">
        <v>12671</v>
      </c>
    </row>
    <row r="100" spans="1:3" s="3" customFormat="1" x14ac:dyDescent="0.2">
      <c r="A100" s="35"/>
      <c r="B100" s="36" t="s">
        <v>146</v>
      </c>
      <c r="C100" s="36">
        <v>13009</v>
      </c>
    </row>
    <row r="101" spans="1:3" x14ac:dyDescent="0.2">
      <c r="A101" s="35"/>
      <c r="B101" s="36" t="s">
        <v>147</v>
      </c>
      <c r="C101" s="36">
        <v>14132</v>
      </c>
    </row>
    <row r="102" spans="1:3" x14ac:dyDescent="0.2">
      <c r="A102" s="35"/>
      <c r="B102" s="36" t="s">
        <v>148</v>
      </c>
      <c r="C102" s="36">
        <v>12209</v>
      </c>
    </row>
    <row r="103" spans="1:3" x14ac:dyDescent="0.2">
      <c r="A103" s="35"/>
      <c r="B103" s="36" t="s">
        <v>149</v>
      </c>
      <c r="C103" s="36">
        <v>8180</v>
      </c>
    </row>
    <row r="104" spans="1:3" s="3" customFormat="1" x14ac:dyDescent="0.2">
      <c r="A104" s="35"/>
      <c r="B104" s="36" t="s">
        <v>150</v>
      </c>
      <c r="C104" s="36">
        <v>8478</v>
      </c>
    </row>
    <row r="105" spans="1:3" x14ac:dyDescent="0.2">
      <c r="A105" s="34" t="s">
        <v>64</v>
      </c>
      <c r="B105" s="37"/>
      <c r="C105" s="34">
        <v>149441</v>
      </c>
    </row>
    <row r="106" spans="1:3" x14ac:dyDescent="0.2">
      <c r="A106" s="34" t="s">
        <v>8</v>
      </c>
      <c r="B106" s="34" t="s">
        <v>139</v>
      </c>
      <c r="C106" s="34">
        <v>57738</v>
      </c>
    </row>
    <row r="107" spans="1:3" x14ac:dyDescent="0.2">
      <c r="A107" s="35"/>
      <c r="B107" s="36" t="s">
        <v>140</v>
      </c>
      <c r="C107" s="36">
        <v>56913</v>
      </c>
    </row>
    <row r="108" spans="1:3" s="3" customFormat="1" x14ac:dyDescent="0.2">
      <c r="A108" s="35"/>
      <c r="B108" s="36" t="s">
        <v>141</v>
      </c>
      <c r="C108" s="36">
        <v>76087</v>
      </c>
    </row>
    <row r="109" spans="1:3" x14ac:dyDescent="0.2">
      <c r="A109" s="35"/>
      <c r="B109" s="36" t="s">
        <v>142</v>
      </c>
      <c r="C109" s="36">
        <v>59082</v>
      </c>
    </row>
    <row r="110" spans="1:3" x14ac:dyDescent="0.2">
      <c r="A110" s="35"/>
      <c r="B110" s="36" t="s">
        <v>143</v>
      </c>
      <c r="C110" s="36">
        <v>45267</v>
      </c>
    </row>
    <row r="111" spans="1:3" x14ac:dyDescent="0.2">
      <c r="A111" s="35"/>
      <c r="B111" s="36" t="s">
        <v>144</v>
      </c>
      <c r="C111" s="36">
        <v>36910</v>
      </c>
    </row>
    <row r="112" spans="1:3" s="3" customFormat="1" x14ac:dyDescent="0.2">
      <c r="A112" s="35"/>
      <c r="B112" s="36" t="s">
        <v>145</v>
      </c>
      <c r="C112" s="36">
        <v>21616</v>
      </c>
    </row>
    <row r="113" spans="1:3" x14ac:dyDescent="0.2">
      <c r="A113" s="35"/>
      <c r="B113" s="36" t="s">
        <v>146</v>
      </c>
      <c r="C113" s="36">
        <v>12338</v>
      </c>
    </row>
    <row r="114" spans="1:3" x14ac:dyDescent="0.2">
      <c r="A114" s="35"/>
      <c r="B114" s="36" t="s">
        <v>147</v>
      </c>
      <c r="C114" s="36">
        <v>13495</v>
      </c>
    </row>
    <row r="115" spans="1:3" x14ac:dyDescent="0.2">
      <c r="A115" s="35"/>
      <c r="B115" s="36" t="s">
        <v>148</v>
      </c>
      <c r="C115" s="36">
        <v>16742</v>
      </c>
    </row>
    <row r="116" spans="1:3" s="3" customFormat="1" x14ac:dyDescent="0.2">
      <c r="A116" s="35"/>
      <c r="B116" s="36" t="s">
        <v>149</v>
      </c>
      <c r="C116" s="36">
        <v>18591</v>
      </c>
    </row>
    <row r="117" spans="1:3" s="3" customFormat="1" x14ac:dyDescent="0.2">
      <c r="A117" s="35"/>
      <c r="B117" s="36" t="s">
        <v>150</v>
      </c>
      <c r="C117" s="36">
        <v>18090</v>
      </c>
    </row>
    <row r="118" spans="1:3" x14ac:dyDescent="0.2">
      <c r="A118" s="34" t="s">
        <v>65</v>
      </c>
      <c r="B118" s="37"/>
      <c r="C118" s="34">
        <v>432869</v>
      </c>
    </row>
    <row r="119" spans="1:3" x14ac:dyDescent="0.2">
      <c r="A119" s="34" t="s">
        <v>9</v>
      </c>
      <c r="B119" s="34" t="s">
        <v>139</v>
      </c>
      <c r="C119" s="34">
        <v>281</v>
      </c>
    </row>
    <row r="120" spans="1:3" x14ac:dyDescent="0.2">
      <c r="A120" s="35"/>
      <c r="B120" s="36" t="s">
        <v>140</v>
      </c>
      <c r="C120" s="36">
        <v>349</v>
      </c>
    </row>
    <row r="121" spans="1:3" x14ac:dyDescent="0.2">
      <c r="A121" s="35"/>
      <c r="B121" s="36" t="s">
        <v>141</v>
      </c>
      <c r="C121" s="36">
        <v>562</v>
      </c>
    </row>
    <row r="122" spans="1:3" x14ac:dyDescent="0.2">
      <c r="A122" s="35"/>
      <c r="B122" s="36" t="s">
        <v>142</v>
      </c>
      <c r="C122" s="36">
        <v>1294</v>
      </c>
    </row>
    <row r="123" spans="1:3" x14ac:dyDescent="0.2">
      <c r="A123" s="35"/>
      <c r="B123" s="36" t="s">
        <v>143</v>
      </c>
      <c r="C123" s="36">
        <v>1508</v>
      </c>
    </row>
    <row r="124" spans="1:3" x14ac:dyDescent="0.2">
      <c r="A124" s="35"/>
      <c r="B124" s="36" t="s">
        <v>144</v>
      </c>
      <c r="C124" s="36">
        <v>1006</v>
      </c>
    </row>
    <row r="125" spans="1:3" x14ac:dyDescent="0.2">
      <c r="A125" s="35"/>
      <c r="B125" s="36" t="s">
        <v>145</v>
      </c>
      <c r="C125" s="36">
        <v>716</v>
      </c>
    </row>
    <row r="126" spans="1:3" x14ac:dyDescent="0.2">
      <c r="A126" s="35"/>
      <c r="B126" s="36" t="s">
        <v>146</v>
      </c>
      <c r="C126" s="36">
        <v>547</v>
      </c>
    </row>
    <row r="127" spans="1:3" x14ac:dyDescent="0.2">
      <c r="A127" s="35"/>
      <c r="B127" s="36" t="s">
        <v>147</v>
      </c>
      <c r="C127" s="36">
        <v>666</v>
      </c>
    </row>
    <row r="128" spans="1:3" x14ac:dyDescent="0.2">
      <c r="A128" s="35"/>
      <c r="B128" s="36" t="s">
        <v>148</v>
      </c>
      <c r="C128" s="36">
        <v>604</v>
      </c>
    </row>
    <row r="129" spans="1:3" x14ac:dyDescent="0.2">
      <c r="A129" s="35"/>
      <c r="B129" s="36" t="s">
        <v>149</v>
      </c>
      <c r="C129" s="36">
        <v>471</v>
      </c>
    </row>
    <row r="130" spans="1:3" x14ac:dyDescent="0.2">
      <c r="A130" s="35"/>
      <c r="B130" s="36" t="s">
        <v>150</v>
      </c>
      <c r="C130" s="36">
        <v>422</v>
      </c>
    </row>
    <row r="131" spans="1:3" x14ac:dyDescent="0.2">
      <c r="A131" s="34" t="s">
        <v>66</v>
      </c>
      <c r="B131" s="37"/>
      <c r="C131" s="34">
        <v>8426</v>
      </c>
    </row>
    <row r="132" spans="1:3" x14ac:dyDescent="0.2">
      <c r="A132" s="34" t="s">
        <v>10</v>
      </c>
      <c r="B132" s="34" t="s">
        <v>139</v>
      </c>
      <c r="C132" s="34">
        <v>121577</v>
      </c>
    </row>
    <row r="133" spans="1:3" x14ac:dyDescent="0.2">
      <c r="A133" s="35"/>
      <c r="B133" s="36" t="s">
        <v>140</v>
      </c>
      <c r="C133" s="36">
        <v>139169</v>
      </c>
    </row>
    <row r="134" spans="1:3" x14ac:dyDescent="0.2">
      <c r="A134" s="35"/>
      <c r="B134" s="36" t="s">
        <v>141</v>
      </c>
      <c r="C134" s="36">
        <v>150736</v>
      </c>
    </row>
    <row r="135" spans="1:3" x14ac:dyDescent="0.2">
      <c r="A135" s="35"/>
      <c r="B135" s="36" t="s">
        <v>142</v>
      </c>
      <c r="C135" s="36">
        <v>103565</v>
      </c>
    </row>
    <row r="136" spans="1:3" x14ac:dyDescent="0.2">
      <c r="A136" s="35"/>
      <c r="B136" s="36" t="s">
        <v>143</v>
      </c>
      <c r="C136" s="36">
        <v>78048</v>
      </c>
    </row>
    <row r="137" spans="1:3" x14ac:dyDescent="0.2">
      <c r="A137" s="35"/>
      <c r="B137" s="36" t="s">
        <v>144</v>
      </c>
      <c r="C137" s="36">
        <v>64627</v>
      </c>
    </row>
    <row r="138" spans="1:3" x14ac:dyDescent="0.2">
      <c r="A138" s="35"/>
      <c r="B138" s="36" t="s">
        <v>145</v>
      </c>
      <c r="C138" s="36">
        <v>34554</v>
      </c>
    </row>
    <row r="139" spans="1:3" x14ac:dyDescent="0.2">
      <c r="A139" s="35"/>
      <c r="B139" s="36" t="s">
        <v>146</v>
      </c>
      <c r="C139" s="36">
        <v>19583</v>
      </c>
    </row>
    <row r="140" spans="1:3" x14ac:dyDescent="0.2">
      <c r="A140" s="35"/>
      <c r="B140" s="36" t="s">
        <v>147</v>
      </c>
      <c r="C140" s="36">
        <v>25092</v>
      </c>
    </row>
    <row r="141" spans="1:3" x14ac:dyDescent="0.2">
      <c r="A141" s="35"/>
      <c r="B141" s="36" t="s">
        <v>148</v>
      </c>
      <c r="C141" s="36">
        <v>36652</v>
      </c>
    </row>
    <row r="142" spans="1:3" x14ac:dyDescent="0.2">
      <c r="A142" s="35"/>
      <c r="B142" s="36" t="s">
        <v>149</v>
      </c>
      <c r="C142" s="36">
        <v>41245</v>
      </c>
    </row>
    <row r="143" spans="1:3" x14ac:dyDescent="0.2">
      <c r="A143" s="35"/>
      <c r="B143" s="36" t="s">
        <v>150</v>
      </c>
      <c r="C143" s="36">
        <v>45319</v>
      </c>
    </row>
    <row r="144" spans="1:3" x14ac:dyDescent="0.2">
      <c r="A144" s="34" t="s">
        <v>67</v>
      </c>
      <c r="B144" s="37"/>
      <c r="C144" s="34">
        <v>860167</v>
      </c>
    </row>
    <row r="145" spans="1:3" x14ac:dyDescent="0.2">
      <c r="A145" s="34" t="s">
        <v>11</v>
      </c>
      <c r="B145" s="34" t="s">
        <v>139</v>
      </c>
      <c r="C145" s="34">
        <v>29141</v>
      </c>
    </row>
    <row r="146" spans="1:3" x14ac:dyDescent="0.2">
      <c r="A146" s="35"/>
      <c r="B146" s="36" t="s">
        <v>140</v>
      </c>
      <c r="C146" s="36">
        <v>28926</v>
      </c>
    </row>
    <row r="147" spans="1:3" x14ac:dyDescent="0.2">
      <c r="A147" s="35"/>
      <c r="B147" s="36" t="s">
        <v>141</v>
      </c>
      <c r="C147" s="36">
        <v>31407</v>
      </c>
    </row>
    <row r="148" spans="1:3" x14ac:dyDescent="0.2">
      <c r="A148" s="35"/>
      <c r="B148" s="36" t="s">
        <v>142</v>
      </c>
      <c r="C148" s="36">
        <v>24203</v>
      </c>
    </row>
    <row r="149" spans="1:3" x14ac:dyDescent="0.2">
      <c r="A149" s="35"/>
      <c r="B149" s="36" t="s">
        <v>143</v>
      </c>
      <c r="C149" s="36">
        <v>25695</v>
      </c>
    </row>
    <row r="150" spans="1:3" x14ac:dyDescent="0.2">
      <c r="A150" s="35"/>
      <c r="B150" s="36" t="s">
        <v>144</v>
      </c>
      <c r="C150" s="36">
        <v>23830</v>
      </c>
    </row>
    <row r="151" spans="1:3" x14ac:dyDescent="0.2">
      <c r="A151" s="35"/>
      <c r="B151" s="36" t="s">
        <v>145</v>
      </c>
      <c r="C151" s="36">
        <v>21839</v>
      </c>
    </row>
    <row r="152" spans="1:3" x14ac:dyDescent="0.2">
      <c r="A152" s="35"/>
      <c r="B152" s="36" t="s">
        <v>146</v>
      </c>
      <c r="C152" s="36">
        <v>17974</v>
      </c>
    </row>
    <row r="153" spans="1:3" x14ac:dyDescent="0.2">
      <c r="A153" s="35"/>
      <c r="B153" s="36" t="s">
        <v>147</v>
      </c>
      <c r="C153" s="36">
        <v>20156</v>
      </c>
    </row>
    <row r="154" spans="1:3" x14ac:dyDescent="0.2">
      <c r="A154" s="35"/>
      <c r="B154" s="36" t="s">
        <v>148</v>
      </c>
      <c r="C154" s="36">
        <v>18352</v>
      </c>
    </row>
    <row r="155" spans="1:3" x14ac:dyDescent="0.2">
      <c r="A155" s="35"/>
      <c r="B155" s="36" t="s">
        <v>149</v>
      </c>
      <c r="C155" s="36">
        <v>14911</v>
      </c>
    </row>
    <row r="156" spans="1:3" x14ac:dyDescent="0.2">
      <c r="A156" s="35"/>
      <c r="B156" s="36" t="s">
        <v>150</v>
      </c>
      <c r="C156" s="36">
        <v>12408</v>
      </c>
    </row>
    <row r="157" spans="1:3" x14ac:dyDescent="0.2">
      <c r="A157" s="34" t="s">
        <v>68</v>
      </c>
      <c r="B157" s="37"/>
      <c r="C157" s="34">
        <v>268842</v>
      </c>
    </row>
    <row r="158" spans="1:3" x14ac:dyDescent="0.2">
      <c r="A158" s="34" t="s">
        <v>12</v>
      </c>
      <c r="B158" s="34" t="s">
        <v>139</v>
      </c>
      <c r="C158" s="34">
        <v>15669</v>
      </c>
    </row>
    <row r="159" spans="1:3" x14ac:dyDescent="0.2">
      <c r="A159" s="35"/>
      <c r="B159" s="36" t="s">
        <v>140</v>
      </c>
      <c r="C159" s="36">
        <v>11059</v>
      </c>
    </row>
    <row r="160" spans="1:3" x14ac:dyDescent="0.2">
      <c r="A160" s="35"/>
      <c r="B160" s="36" t="s">
        <v>141</v>
      </c>
      <c r="C160" s="36">
        <v>17174</v>
      </c>
    </row>
    <row r="161" spans="1:3" x14ac:dyDescent="0.2">
      <c r="A161" s="35"/>
      <c r="B161" s="36" t="s">
        <v>142</v>
      </c>
      <c r="C161" s="36">
        <v>21910</v>
      </c>
    </row>
    <row r="162" spans="1:3" x14ac:dyDescent="0.2">
      <c r="A162" s="35"/>
      <c r="B162" s="36" t="s">
        <v>143</v>
      </c>
      <c r="C162" s="36">
        <v>32929</v>
      </c>
    </row>
    <row r="163" spans="1:3" x14ac:dyDescent="0.2">
      <c r="A163" s="35"/>
      <c r="B163" s="36" t="s">
        <v>144</v>
      </c>
      <c r="C163" s="36">
        <v>28698</v>
      </c>
    </row>
    <row r="164" spans="1:3" x14ac:dyDescent="0.2">
      <c r="A164" s="35"/>
      <c r="B164" s="36" t="s">
        <v>145</v>
      </c>
      <c r="C164" s="36">
        <v>22403</v>
      </c>
    </row>
    <row r="165" spans="1:3" x14ac:dyDescent="0.2">
      <c r="A165" s="35"/>
      <c r="B165" s="36" t="s">
        <v>146</v>
      </c>
      <c r="C165" s="36">
        <v>19298</v>
      </c>
    </row>
    <row r="166" spans="1:3" x14ac:dyDescent="0.2">
      <c r="A166" s="35"/>
      <c r="B166" s="36" t="s">
        <v>147</v>
      </c>
      <c r="C166" s="36">
        <v>25508</v>
      </c>
    </row>
    <row r="167" spans="1:3" x14ac:dyDescent="0.2">
      <c r="A167" s="35"/>
      <c r="B167" s="36" t="s">
        <v>148</v>
      </c>
      <c r="C167" s="36">
        <v>25380</v>
      </c>
    </row>
    <row r="168" spans="1:3" x14ac:dyDescent="0.2">
      <c r="A168" s="35"/>
      <c r="B168" s="36" t="s">
        <v>149</v>
      </c>
      <c r="C168" s="36">
        <v>21829</v>
      </c>
    </row>
    <row r="169" spans="1:3" x14ac:dyDescent="0.2">
      <c r="A169" s="35"/>
      <c r="B169" s="36" t="s">
        <v>150</v>
      </c>
      <c r="C169" s="36">
        <v>14522</v>
      </c>
    </row>
    <row r="170" spans="1:3" x14ac:dyDescent="0.2">
      <c r="A170" s="34" t="s">
        <v>69</v>
      </c>
      <c r="B170" s="37"/>
      <c r="C170" s="34">
        <v>256379</v>
      </c>
    </row>
    <row r="171" spans="1:3" x14ac:dyDescent="0.2">
      <c r="A171" s="34" t="s">
        <v>13</v>
      </c>
      <c r="B171" s="34" t="s">
        <v>139</v>
      </c>
      <c r="C171" s="34">
        <v>61554</v>
      </c>
    </row>
    <row r="172" spans="1:3" x14ac:dyDescent="0.2">
      <c r="A172" s="35"/>
      <c r="B172" s="36" t="s">
        <v>140</v>
      </c>
      <c r="C172" s="36">
        <v>78613</v>
      </c>
    </row>
    <row r="173" spans="1:3" x14ac:dyDescent="0.2">
      <c r="A173" s="35"/>
      <c r="B173" s="36" t="s">
        <v>141</v>
      </c>
      <c r="C173" s="36">
        <v>61752</v>
      </c>
    </row>
    <row r="174" spans="1:3" x14ac:dyDescent="0.2">
      <c r="A174" s="35"/>
      <c r="B174" s="36" t="s">
        <v>142</v>
      </c>
      <c r="C174" s="36">
        <v>37972</v>
      </c>
    </row>
    <row r="175" spans="1:3" x14ac:dyDescent="0.2">
      <c r="A175" s="35"/>
      <c r="B175" s="36" t="s">
        <v>143</v>
      </c>
      <c r="C175" s="36">
        <v>26236</v>
      </c>
    </row>
    <row r="176" spans="1:3" x14ac:dyDescent="0.2">
      <c r="A176" s="35"/>
      <c r="B176" s="36" t="s">
        <v>144</v>
      </c>
      <c r="C176" s="36">
        <v>21555</v>
      </c>
    </row>
    <row r="177" spans="1:3" x14ac:dyDescent="0.2">
      <c r="A177" s="35"/>
      <c r="B177" s="36" t="s">
        <v>145</v>
      </c>
      <c r="C177" s="36">
        <v>12641</v>
      </c>
    </row>
    <row r="178" spans="1:3" x14ac:dyDescent="0.2">
      <c r="A178" s="35"/>
      <c r="B178" s="36" t="s">
        <v>146</v>
      </c>
      <c r="C178" s="36">
        <v>9953</v>
      </c>
    </row>
    <row r="179" spans="1:3" x14ac:dyDescent="0.2">
      <c r="A179" s="35"/>
      <c r="B179" s="36" t="s">
        <v>147</v>
      </c>
      <c r="C179" s="36">
        <v>15874</v>
      </c>
    </row>
    <row r="180" spans="1:3" x14ac:dyDescent="0.2">
      <c r="A180" s="35"/>
      <c r="B180" s="36" t="s">
        <v>148</v>
      </c>
      <c r="C180" s="36">
        <v>20630</v>
      </c>
    </row>
    <row r="181" spans="1:3" x14ac:dyDescent="0.2">
      <c r="A181" s="35"/>
      <c r="B181" s="36" t="s">
        <v>149</v>
      </c>
      <c r="C181" s="36">
        <v>18700</v>
      </c>
    </row>
    <row r="182" spans="1:3" x14ac:dyDescent="0.2">
      <c r="A182" s="35"/>
      <c r="B182" s="36" t="s">
        <v>150</v>
      </c>
      <c r="C182" s="36">
        <v>17001</v>
      </c>
    </row>
    <row r="183" spans="1:3" x14ac:dyDescent="0.2">
      <c r="A183" s="34" t="s">
        <v>70</v>
      </c>
      <c r="B183" s="37"/>
      <c r="C183" s="34">
        <v>382481</v>
      </c>
    </row>
    <row r="184" spans="1:3" x14ac:dyDescent="0.2">
      <c r="A184" s="34" t="s">
        <v>14</v>
      </c>
      <c r="B184" s="34" t="s">
        <v>139</v>
      </c>
      <c r="C184" s="34">
        <v>53456</v>
      </c>
    </row>
    <row r="185" spans="1:3" x14ac:dyDescent="0.2">
      <c r="A185" s="35"/>
      <c r="B185" s="36" t="s">
        <v>140</v>
      </c>
      <c r="C185" s="36">
        <v>38141</v>
      </c>
    </row>
    <row r="186" spans="1:3" x14ac:dyDescent="0.2">
      <c r="A186" s="35"/>
      <c r="B186" s="36" t="s">
        <v>141</v>
      </c>
      <c r="C186" s="36">
        <v>36986</v>
      </c>
    </row>
    <row r="187" spans="1:3" x14ac:dyDescent="0.2">
      <c r="A187" s="35"/>
      <c r="B187" s="36" t="s">
        <v>142</v>
      </c>
      <c r="C187" s="36">
        <v>39204</v>
      </c>
    </row>
    <row r="188" spans="1:3" x14ac:dyDescent="0.2">
      <c r="A188" s="35"/>
      <c r="B188" s="36" t="s">
        <v>143</v>
      </c>
      <c r="C188" s="36">
        <v>34429</v>
      </c>
    </row>
    <row r="189" spans="1:3" x14ac:dyDescent="0.2">
      <c r="A189" s="35"/>
      <c r="B189" s="36" t="s">
        <v>144</v>
      </c>
      <c r="C189" s="36">
        <v>26915</v>
      </c>
    </row>
    <row r="190" spans="1:3" x14ac:dyDescent="0.2">
      <c r="A190" s="35"/>
      <c r="B190" s="36" t="s">
        <v>145</v>
      </c>
      <c r="C190" s="36">
        <v>15899</v>
      </c>
    </row>
    <row r="191" spans="1:3" x14ac:dyDescent="0.2">
      <c r="A191" s="35"/>
      <c r="B191" s="36" t="s">
        <v>146</v>
      </c>
      <c r="C191" s="36">
        <v>12672</v>
      </c>
    </row>
    <row r="192" spans="1:3" x14ac:dyDescent="0.2">
      <c r="A192" s="35"/>
      <c r="B192" s="36" t="s">
        <v>147</v>
      </c>
      <c r="C192" s="36">
        <v>13398</v>
      </c>
    </row>
    <row r="193" spans="1:3" x14ac:dyDescent="0.2">
      <c r="A193" s="35"/>
      <c r="B193" s="36" t="s">
        <v>148</v>
      </c>
      <c r="C193" s="36">
        <v>14810</v>
      </c>
    </row>
    <row r="194" spans="1:3" x14ac:dyDescent="0.2">
      <c r="A194" s="35"/>
      <c r="B194" s="36" t="s">
        <v>149</v>
      </c>
      <c r="C194" s="36">
        <v>15074</v>
      </c>
    </row>
    <row r="195" spans="1:3" x14ac:dyDescent="0.2">
      <c r="A195" s="35"/>
      <c r="B195" s="36" t="s">
        <v>150</v>
      </c>
      <c r="C195" s="36">
        <v>20796</v>
      </c>
    </row>
    <row r="196" spans="1:3" x14ac:dyDescent="0.2">
      <c r="A196" s="34" t="s">
        <v>71</v>
      </c>
      <c r="B196" s="37"/>
      <c r="C196" s="34">
        <v>321780</v>
      </c>
    </row>
    <row r="197" spans="1:3" x14ac:dyDescent="0.2">
      <c r="A197" s="34" t="s">
        <v>15</v>
      </c>
      <c r="B197" s="34" t="s">
        <v>139</v>
      </c>
      <c r="C197" s="34">
        <v>16975</v>
      </c>
    </row>
    <row r="198" spans="1:3" x14ac:dyDescent="0.2">
      <c r="A198" s="35"/>
      <c r="B198" s="36" t="s">
        <v>140</v>
      </c>
      <c r="C198" s="36">
        <v>13177</v>
      </c>
    </row>
    <row r="199" spans="1:3" x14ac:dyDescent="0.2">
      <c r="A199" s="35"/>
      <c r="B199" s="36" t="s">
        <v>141</v>
      </c>
      <c r="C199" s="36">
        <v>16061</v>
      </c>
    </row>
    <row r="200" spans="1:3" x14ac:dyDescent="0.2">
      <c r="A200" s="35"/>
      <c r="B200" s="36" t="s">
        <v>142</v>
      </c>
      <c r="C200" s="36">
        <v>11941</v>
      </c>
    </row>
    <row r="201" spans="1:3" x14ac:dyDescent="0.2">
      <c r="A201" s="35"/>
      <c r="B201" s="36" t="s">
        <v>143</v>
      </c>
      <c r="C201" s="36">
        <v>11110</v>
      </c>
    </row>
    <row r="202" spans="1:3" x14ac:dyDescent="0.2">
      <c r="A202" s="35"/>
      <c r="B202" s="36" t="s">
        <v>144</v>
      </c>
      <c r="C202" s="36">
        <v>9680</v>
      </c>
    </row>
    <row r="203" spans="1:3" x14ac:dyDescent="0.2">
      <c r="A203" s="35"/>
      <c r="B203" s="36" t="s">
        <v>145</v>
      </c>
      <c r="C203" s="36">
        <v>7859</v>
      </c>
    </row>
    <row r="204" spans="1:3" x14ac:dyDescent="0.2">
      <c r="A204" s="35"/>
      <c r="B204" s="36" t="s">
        <v>146</v>
      </c>
      <c r="C204" s="36">
        <v>6132</v>
      </c>
    </row>
    <row r="205" spans="1:3" x14ac:dyDescent="0.2">
      <c r="A205" s="35"/>
      <c r="B205" s="36" t="s">
        <v>147</v>
      </c>
      <c r="C205" s="36">
        <v>5349</v>
      </c>
    </row>
    <row r="206" spans="1:3" x14ac:dyDescent="0.2">
      <c r="A206" s="35"/>
      <c r="B206" s="36" t="s">
        <v>148</v>
      </c>
      <c r="C206" s="36">
        <v>5053</v>
      </c>
    </row>
    <row r="207" spans="1:3" x14ac:dyDescent="0.2">
      <c r="A207" s="35"/>
      <c r="B207" s="36" t="s">
        <v>149</v>
      </c>
      <c r="C207" s="36">
        <v>4426</v>
      </c>
    </row>
    <row r="208" spans="1:3" x14ac:dyDescent="0.2">
      <c r="A208" s="35"/>
      <c r="B208" s="36" t="s">
        <v>150</v>
      </c>
      <c r="C208" s="36">
        <v>5124</v>
      </c>
    </row>
    <row r="209" spans="1:3" x14ac:dyDescent="0.2">
      <c r="A209" s="34" t="s">
        <v>72</v>
      </c>
      <c r="B209" s="37"/>
      <c r="C209" s="34">
        <v>112887</v>
      </c>
    </row>
    <row r="210" spans="1:3" x14ac:dyDescent="0.2">
      <c r="A210" s="34" t="s">
        <v>16</v>
      </c>
      <c r="B210" s="34" t="s">
        <v>139</v>
      </c>
      <c r="C210" s="34">
        <v>18212</v>
      </c>
    </row>
    <row r="211" spans="1:3" x14ac:dyDescent="0.2">
      <c r="A211" s="35"/>
      <c r="B211" s="36" t="s">
        <v>140</v>
      </c>
      <c r="C211" s="36">
        <v>24398</v>
      </c>
    </row>
    <row r="212" spans="1:3" x14ac:dyDescent="0.2">
      <c r="A212" s="35"/>
      <c r="B212" s="36" t="s">
        <v>141</v>
      </c>
      <c r="C212" s="36">
        <v>26869</v>
      </c>
    </row>
    <row r="213" spans="1:3" x14ac:dyDescent="0.2">
      <c r="A213" s="35"/>
      <c r="B213" s="36" t="s">
        <v>142</v>
      </c>
      <c r="C213" s="36">
        <v>30330</v>
      </c>
    </row>
    <row r="214" spans="1:3" x14ac:dyDescent="0.2">
      <c r="A214" s="35"/>
      <c r="B214" s="36" t="s">
        <v>143</v>
      </c>
      <c r="C214" s="36">
        <v>20990</v>
      </c>
    </row>
    <row r="215" spans="1:3" x14ac:dyDescent="0.2">
      <c r="A215" s="35"/>
      <c r="B215" s="36" t="s">
        <v>144</v>
      </c>
      <c r="C215" s="36">
        <v>24824</v>
      </c>
    </row>
    <row r="216" spans="1:3" x14ac:dyDescent="0.2">
      <c r="A216" s="35"/>
      <c r="B216" s="36" t="s">
        <v>145</v>
      </c>
      <c r="C216" s="36">
        <v>12967</v>
      </c>
    </row>
    <row r="217" spans="1:3" x14ac:dyDescent="0.2">
      <c r="A217" s="35"/>
      <c r="B217" s="36" t="s">
        <v>146</v>
      </c>
      <c r="C217" s="36">
        <v>6235</v>
      </c>
    </row>
    <row r="218" spans="1:3" x14ac:dyDescent="0.2">
      <c r="A218" s="35"/>
      <c r="B218" s="36" t="s">
        <v>147</v>
      </c>
      <c r="C218" s="36">
        <v>5973</v>
      </c>
    </row>
    <row r="219" spans="1:3" x14ac:dyDescent="0.2">
      <c r="A219" s="35"/>
      <c r="B219" s="36" t="s">
        <v>148</v>
      </c>
      <c r="C219" s="36">
        <v>6567</v>
      </c>
    </row>
    <row r="220" spans="1:3" x14ac:dyDescent="0.2">
      <c r="A220" s="35"/>
      <c r="B220" s="36" t="s">
        <v>149</v>
      </c>
      <c r="C220" s="36">
        <v>7053</v>
      </c>
    </row>
    <row r="221" spans="1:3" x14ac:dyDescent="0.2">
      <c r="A221" s="35"/>
      <c r="B221" s="36" t="s">
        <v>150</v>
      </c>
      <c r="C221" s="36">
        <v>9473</v>
      </c>
    </row>
    <row r="222" spans="1:3" x14ac:dyDescent="0.2">
      <c r="A222" s="34" t="s">
        <v>73</v>
      </c>
      <c r="B222" s="37"/>
      <c r="C222" s="34">
        <v>193891</v>
      </c>
    </row>
    <row r="223" spans="1:3" x14ac:dyDescent="0.2">
      <c r="A223" s="34" t="s">
        <v>17</v>
      </c>
      <c r="B223" s="34" t="s">
        <v>139</v>
      </c>
      <c r="C223" s="34">
        <v>24810</v>
      </c>
    </row>
    <row r="224" spans="1:3" x14ac:dyDescent="0.2">
      <c r="A224" s="35"/>
      <c r="B224" s="36" t="s">
        <v>140</v>
      </c>
      <c r="C224" s="36">
        <v>27955</v>
      </c>
    </row>
    <row r="225" spans="1:3" x14ac:dyDescent="0.2">
      <c r="A225" s="35"/>
      <c r="B225" s="36" t="s">
        <v>141</v>
      </c>
      <c r="C225" s="36">
        <v>41824</v>
      </c>
    </row>
    <row r="226" spans="1:3" x14ac:dyDescent="0.2">
      <c r="A226" s="35"/>
      <c r="B226" s="36" t="s">
        <v>142</v>
      </c>
      <c r="C226" s="36">
        <v>41910</v>
      </c>
    </row>
    <row r="227" spans="1:3" x14ac:dyDescent="0.2">
      <c r="A227" s="35"/>
      <c r="B227" s="36" t="s">
        <v>143</v>
      </c>
      <c r="C227" s="36">
        <v>25337</v>
      </c>
    </row>
    <row r="228" spans="1:3" x14ac:dyDescent="0.2">
      <c r="A228" s="35"/>
      <c r="B228" s="36" t="s">
        <v>144</v>
      </c>
      <c r="C228" s="36">
        <v>27783</v>
      </c>
    </row>
    <row r="229" spans="1:3" x14ac:dyDescent="0.2">
      <c r="A229" s="35"/>
      <c r="B229" s="36" t="s">
        <v>145</v>
      </c>
      <c r="C229" s="36">
        <v>15349</v>
      </c>
    </row>
    <row r="230" spans="1:3" x14ac:dyDescent="0.2">
      <c r="A230" s="35"/>
      <c r="B230" s="36" t="s">
        <v>146</v>
      </c>
      <c r="C230" s="36">
        <v>8565</v>
      </c>
    </row>
    <row r="231" spans="1:3" x14ac:dyDescent="0.2">
      <c r="A231" s="35"/>
      <c r="B231" s="36" t="s">
        <v>147</v>
      </c>
      <c r="C231" s="36">
        <v>8810</v>
      </c>
    </row>
    <row r="232" spans="1:3" x14ac:dyDescent="0.2">
      <c r="A232" s="35"/>
      <c r="B232" s="36" t="s">
        <v>148</v>
      </c>
      <c r="C232" s="36">
        <v>9847</v>
      </c>
    </row>
    <row r="233" spans="1:3" x14ac:dyDescent="0.2">
      <c r="A233" s="35"/>
      <c r="B233" s="36" t="s">
        <v>149</v>
      </c>
      <c r="C233" s="36">
        <v>9977</v>
      </c>
    </row>
    <row r="234" spans="1:3" x14ac:dyDescent="0.2">
      <c r="A234" s="35"/>
      <c r="B234" s="36" t="s">
        <v>150</v>
      </c>
      <c r="C234" s="36">
        <v>9351</v>
      </c>
    </row>
    <row r="235" spans="1:3" x14ac:dyDescent="0.2">
      <c r="A235" s="34" t="s">
        <v>74</v>
      </c>
      <c r="B235" s="37"/>
      <c r="C235" s="34">
        <v>251518</v>
      </c>
    </row>
    <row r="236" spans="1:3" x14ac:dyDescent="0.2">
      <c r="A236" s="34" t="s">
        <v>18</v>
      </c>
      <c r="B236" s="34" t="s">
        <v>139</v>
      </c>
      <c r="C236" s="34">
        <v>21583</v>
      </c>
    </row>
    <row r="237" spans="1:3" x14ac:dyDescent="0.2">
      <c r="A237" s="35"/>
      <c r="B237" s="36" t="s">
        <v>140</v>
      </c>
      <c r="C237" s="36">
        <v>15795</v>
      </c>
    </row>
    <row r="238" spans="1:3" x14ac:dyDescent="0.2">
      <c r="A238" s="35"/>
      <c r="B238" s="36" t="s">
        <v>141</v>
      </c>
      <c r="C238" s="36">
        <v>20788</v>
      </c>
    </row>
    <row r="239" spans="1:3" x14ac:dyDescent="0.2">
      <c r="A239" s="35"/>
      <c r="B239" s="36" t="s">
        <v>142</v>
      </c>
      <c r="C239" s="36">
        <v>16142</v>
      </c>
    </row>
    <row r="240" spans="1:3" x14ac:dyDescent="0.2">
      <c r="A240" s="35"/>
      <c r="B240" s="36" t="s">
        <v>143</v>
      </c>
      <c r="C240" s="36">
        <v>14156</v>
      </c>
    </row>
    <row r="241" spans="1:3" x14ac:dyDescent="0.2">
      <c r="A241" s="35"/>
      <c r="B241" s="36" t="s">
        <v>144</v>
      </c>
      <c r="C241" s="36">
        <v>10440</v>
      </c>
    </row>
    <row r="242" spans="1:3" x14ac:dyDescent="0.2">
      <c r="A242" s="35"/>
      <c r="B242" s="36" t="s">
        <v>145</v>
      </c>
      <c r="C242" s="36">
        <v>6930</v>
      </c>
    </row>
    <row r="243" spans="1:3" x14ac:dyDescent="0.2">
      <c r="A243" s="35"/>
      <c r="B243" s="36" t="s">
        <v>146</v>
      </c>
      <c r="C243" s="36">
        <v>4469</v>
      </c>
    </row>
    <row r="244" spans="1:3" x14ac:dyDescent="0.2">
      <c r="A244" s="35"/>
      <c r="B244" s="36" t="s">
        <v>147</v>
      </c>
      <c r="C244" s="36">
        <v>5786</v>
      </c>
    </row>
    <row r="245" spans="1:3" x14ac:dyDescent="0.2">
      <c r="A245" s="35"/>
      <c r="B245" s="36" t="s">
        <v>148</v>
      </c>
      <c r="C245" s="36">
        <v>5256</v>
      </c>
    </row>
    <row r="246" spans="1:3" x14ac:dyDescent="0.2">
      <c r="A246" s="35"/>
      <c r="B246" s="36" t="s">
        <v>149</v>
      </c>
      <c r="C246" s="36">
        <v>4363</v>
      </c>
    </row>
    <row r="247" spans="1:3" x14ac:dyDescent="0.2">
      <c r="A247" s="35"/>
      <c r="B247" s="36" t="s">
        <v>150</v>
      </c>
      <c r="C247" s="36">
        <v>5159</v>
      </c>
    </row>
    <row r="248" spans="1:3" x14ac:dyDescent="0.2">
      <c r="A248" s="34" t="s">
        <v>75</v>
      </c>
      <c r="B248" s="37"/>
      <c r="C248" s="34">
        <v>130867</v>
      </c>
    </row>
    <row r="249" spans="1:3" x14ac:dyDescent="0.2">
      <c r="A249" s="34" t="s">
        <v>19</v>
      </c>
      <c r="B249" s="34" t="s">
        <v>139</v>
      </c>
      <c r="C249" s="34">
        <v>11018</v>
      </c>
    </row>
    <row r="250" spans="1:3" x14ac:dyDescent="0.2">
      <c r="A250" s="35"/>
      <c r="B250" s="36" t="s">
        <v>140</v>
      </c>
      <c r="C250" s="36">
        <v>7869</v>
      </c>
    </row>
    <row r="251" spans="1:3" x14ac:dyDescent="0.2">
      <c r="A251" s="35"/>
      <c r="B251" s="36" t="s">
        <v>141</v>
      </c>
      <c r="C251" s="36">
        <v>7819</v>
      </c>
    </row>
    <row r="252" spans="1:3" x14ac:dyDescent="0.2">
      <c r="A252" s="35"/>
      <c r="B252" s="36" t="s">
        <v>142</v>
      </c>
      <c r="C252" s="36">
        <v>7872</v>
      </c>
    </row>
    <row r="253" spans="1:3" x14ac:dyDescent="0.2">
      <c r="A253" s="35"/>
      <c r="B253" s="36" t="s">
        <v>143</v>
      </c>
      <c r="C253" s="36">
        <v>7965</v>
      </c>
    </row>
    <row r="254" spans="1:3" x14ac:dyDescent="0.2">
      <c r="A254" s="35"/>
      <c r="B254" s="36" t="s">
        <v>144</v>
      </c>
      <c r="C254" s="36">
        <v>10048</v>
      </c>
    </row>
    <row r="255" spans="1:3" x14ac:dyDescent="0.2">
      <c r="A255" s="35"/>
      <c r="B255" s="36" t="s">
        <v>145</v>
      </c>
      <c r="C255" s="36">
        <v>11946</v>
      </c>
    </row>
    <row r="256" spans="1:3" x14ac:dyDescent="0.2">
      <c r="A256" s="35"/>
      <c r="B256" s="36" t="s">
        <v>146</v>
      </c>
      <c r="C256" s="36">
        <v>14398</v>
      </c>
    </row>
    <row r="257" spans="1:3" x14ac:dyDescent="0.2">
      <c r="A257" s="35"/>
      <c r="B257" s="36" t="s">
        <v>147</v>
      </c>
      <c r="C257" s="36">
        <v>21179</v>
      </c>
    </row>
    <row r="258" spans="1:3" x14ac:dyDescent="0.2">
      <c r="A258" s="35"/>
      <c r="B258" s="36" t="s">
        <v>148</v>
      </c>
      <c r="C258" s="36">
        <v>24268</v>
      </c>
    </row>
    <row r="259" spans="1:3" x14ac:dyDescent="0.2">
      <c r="A259" s="35"/>
      <c r="B259" s="36" t="s">
        <v>149</v>
      </c>
      <c r="C259" s="36">
        <v>25325</v>
      </c>
    </row>
    <row r="260" spans="1:3" x14ac:dyDescent="0.2">
      <c r="A260" s="35"/>
      <c r="B260" s="36" t="s">
        <v>150</v>
      </c>
      <c r="C260" s="36">
        <v>28005</v>
      </c>
    </row>
    <row r="261" spans="1:3" x14ac:dyDescent="0.2">
      <c r="A261" s="34" t="s">
        <v>76</v>
      </c>
      <c r="B261" s="37"/>
      <c r="C261" s="34">
        <v>177712</v>
      </c>
    </row>
    <row r="262" spans="1:3" x14ac:dyDescent="0.2">
      <c r="A262" s="34" t="s">
        <v>20</v>
      </c>
      <c r="B262" s="34" t="s">
        <v>139</v>
      </c>
      <c r="C262" s="34">
        <v>21728</v>
      </c>
    </row>
    <row r="263" spans="1:3" x14ac:dyDescent="0.2">
      <c r="A263" s="35"/>
      <c r="B263" s="36" t="s">
        <v>140</v>
      </c>
      <c r="C263" s="36">
        <v>22494</v>
      </c>
    </row>
    <row r="264" spans="1:3" x14ac:dyDescent="0.2">
      <c r="A264" s="35"/>
      <c r="B264" s="36" t="s">
        <v>141</v>
      </c>
      <c r="C264" s="36">
        <v>26450</v>
      </c>
    </row>
    <row r="265" spans="1:3" x14ac:dyDescent="0.2">
      <c r="A265" s="35"/>
      <c r="B265" s="36" t="s">
        <v>142</v>
      </c>
      <c r="C265" s="36">
        <v>23112</v>
      </c>
    </row>
    <row r="266" spans="1:3" x14ac:dyDescent="0.2">
      <c r="A266" s="35"/>
      <c r="B266" s="36" t="s">
        <v>143</v>
      </c>
      <c r="C266" s="36">
        <v>30162</v>
      </c>
    </row>
    <row r="267" spans="1:3" x14ac:dyDescent="0.2">
      <c r="A267" s="35"/>
      <c r="B267" s="36" t="s">
        <v>144</v>
      </c>
      <c r="C267" s="36">
        <v>33703</v>
      </c>
    </row>
    <row r="268" spans="1:3" x14ac:dyDescent="0.2">
      <c r="A268" s="35"/>
      <c r="B268" s="36" t="s">
        <v>145</v>
      </c>
      <c r="C268" s="36">
        <v>34316</v>
      </c>
    </row>
    <row r="269" spans="1:3" x14ac:dyDescent="0.2">
      <c r="A269" s="35"/>
      <c r="B269" s="36" t="s">
        <v>146</v>
      </c>
      <c r="C269" s="36">
        <v>30131</v>
      </c>
    </row>
    <row r="270" spans="1:3" x14ac:dyDescent="0.2">
      <c r="A270" s="35"/>
      <c r="B270" s="36" t="s">
        <v>147</v>
      </c>
      <c r="C270" s="36">
        <v>37178</v>
      </c>
    </row>
    <row r="271" spans="1:3" x14ac:dyDescent="0.2">
      <c r="A271" s="35"/>
      <c r="B271" s="36" t="s">
        <v>148</v>
      </c>
      <c r="C271" s="36">
        <v>35015</v>
      </c>
    </row>
    <row r="272" spans="1:3" x14ac:dyDescent="0.2">
      <c r="A272" s="35"/>
      <c r="B272" s="36" t="s">
        <v>149</v>
      </c>
      <c r="C272" s="36">
        <v>24599</v>
      </c>
    </row>
    <row r="273" spans="1:3" x14ac:dyDescent="0.2">
      <c r="A273" s="35"/>
      <c r="B273" s="36" t="s">
        <v>150</v>
      </c>
      <c r="C273" s="36">
        <v>17283</v>
      </c>
    </row>
    <row r="274" spans="1:3" x14ac:dyDescent="0.2">
      <c r="A274" s="34" t="s">
        <v>77</v>
      </c>
      <c r="B274" s="37"/>
      <c r="C274" s="34">
        <v>336171</v>
      </c>
    </row>
    <row r="275" spans="1:3" x14ac:dyDescent="0.2">
      <c r="A275" s="34" t="s">
        <v>21</v>
      </c>
      <c r="B275" s="34" t="s">
        <v>139</v>
      </c>
      <c r="C275" s="34">
        <v>7653</v>
      </c>
    </row>
    <row r="276" spans="1:3" x14ac:dyDescent="0.2">
      <c r="A276" s="35"/>
      <c r="B276" s="36" t="s">
        <v>140</v>
      </c>
      <c r="C276" s="36">
        <v>8058</v>
      </c>
    </row>
    <row r="277" spans="1:3" x14ac:dyDescent="0.2">
      <c r="A277" s="35"/>
      <c r="B277" s="36" t="s">
        <v>141</v>
      </c>
      <c r="C277" s="36">
        <v>8071</v>
      </c>
    </row>
    <row r="278" spans="1:3" x14ac:dyDescent="0.2">
      <c r="A278" s="35"/>
      <c r="B278" s="36" t="s">
        <v>142</v>
      </c>
      <c r="C278" s="36">
        <v>9543</v>
      </c>
    </row>
    <row r="279" spans="1:3" x14ac:dyDescent="0.2">
      <c r="A279" s="35"/>
      <c r="B279" s="36" t="s">
        <v>143</v>
      </c>
      <c r="C279" s="36">
        <v>10882</v>
      </c>
    </row>
    <row r="280" spans="1:3" x14ac:dyDescent="0.2">
      <c r="A280" s="35"/>
      <c r="B280" s="36" t="s">
        <v>144</v>
      </c>
      <c r="C280" s="36">
        <v>7197</v>
      </c>
    </row>
    <row r="281" spans="1:3" x14ac:dyDescent="0.2">
      <c r="A281" s="35"/>
      <c r="B281" s="36" t="s">
        <v>145</v>
      </c>
      <c r="C281" s="36">
        <v>7168</v>
      </c>
    </row>
    <row r="282" spans="1:3" x14ac:dyDescent="0.2">
      <c r="A282" s="35"/>
      <c r="B282" s="36" t="s">
        <v>146</v>
      </c>
      <c r="C282" s="36">
        <v>6234</v>
      </c>
    </row>
    <row r="283" spans="1:3" x14ac:dyDescent="0.2">
      <c r="A283" s="35"/>
      <c r="B283" s="36" t="s">
        <v>147</v>
      </c>
      <c r="C283" s="36">
        <v>5870</v>
      </c>
    </row>
    <row r="284" spans="1:3" x14ac:dyDescent="0.2">
      <c r="A284" s="35"/>
      <c r="B284" s="36" t="s">
        <v>148</v>
      </c>
      <c r="C284" s="36">
        <v>5717</v>
      </c>
    </row>
    <row r="285" spans="1:3" x14ac:dyDescent="0.2">
      <c r="A285" s="35"/>
      <c r="B285" s="36" t="s">
        <v>149</v>
      </c>
      <c r="C285" s="36">
        <v>3352</v>
      </c>
    </row>
    <row r="286" spans="1:3" x14ac:dyDescent="0.2">
      <c r="A286" s="35"/>
      <c r="B286" s="36" t="s">
        <v>150</v>
      </c>
      <c r="C286" s="36">
        <v>4556</v>
      </c>
    </row>
    <row r="287" spans="1:3" x14ac:dyDescent="0.2">
      <c r="A287" s="34" t="s">
        <v>78</v>
      </c>
      <c r="B287" s="37"/>
      <c r="C287" s="34">
        <v>84301</v>
      </c>
    </row>
    <row r="288" spans="1:3" x14ac:dyDescent="0.2">
      <c r="A288" s="34" t="s">
        <v>22</v>
      </c>
      <c r="B288" s="34" t="s">
        <v>139</v>
      </c>
      <c r="C288" s="34">
        <v>26767</v>
      </c>
    </row>
    <row r="289" spans="1:3" x14ac:dyDescent="0.2">
      <c r="A289" s="35"/>
      <c r="B289" s="36" t="s">
        <v>140</v>
      </c>
      <c r="C289" s="36">
        <v>19937</v>
      </c>
    </row>
    <row r="290" spans="1:3" x14ac:dyDescent="0.2">
      <c r="A290" s="35"/>
      <c r="B290" s="36" t="s">
        <v>141</v>
      </c>
      <c r="C290" s="36">
        <v>31387</v>
      </c>
    </row>
    <row r="291" spans="1:3" x14ac:dyDescent="0.2">
      <c r="A291" s="35"/>
      <c r="B291" s="36" t="s">
        <v>142</v>
      </c>
      <c r="C291" s="36">
        <v>28648</v>
      </c>
    </row>
    <row r="292" spans="1:3" x14ac:dyDescent="0.2">
      <c r="A292" s="35"/>
      <c r="B292" s="36" t="s">
        <v>143</v>
      </c>
      <c r="C292" s="36">
        <v>31383</v>
      </c>
    </row>
    <row r="293" spans="1:3" x14ac:dyDescent="0.2">
      <c r="A293" s="35"/>
      <c r="B293" s="36" t="s">
        <v>144</v>
      </c>
      <c r="C293" s="36">
        <v>20806</v>
      </c>
    </row>
    <row r="294" spans="1:3" x14ac:dyDescent="0.2">
      <c r="A294" s="35"/>
      <c r="B294" s="36" t="s">
        <v>145</v>
      </c>
      <c r="C294" s="36">
        <v>15051</v>
      </c>
    </row>
    <row r="295" spans="1:3" x14ac:dyDescent="0.2">
      <c r="A295" s="35"/>
      <c r="B295" s="36" t="s">
        <v>146</v>
      </c>
      <c r="C295" s="36">
        <v>10774</v>
      </c>
    </row>
    <row r="296" spans="1:3" x14ac:dyDescent="0.2">
      <c r="A296" s="35"/>
      <c r="B296" s="36" t="s">
        <v>147</v>
      </c>
      <c r="C296" s="36">
        <v>10929</v>
      </c>
    </row>
    <row r="297" spans="1:3" x14ac:dyDescent="0.2">
      <c r="A297" s="35"/>
      <c r="B297" s="36" t="s">
        <v>148</v>
      </c>
      <c r="C297" s="36">
        <v>11527</v>
      </c>
    </row>
    <row r="298" spans="1:3" x14ac:dyDescent="0.2">
      <c r="A298" s="35"/>
      <c r="B298" s="36" t="s">
        <v>149</v>
      </c>
      <c r="C298" s="36">
        <v>9989</v>
      </c>
    </row>
    <row r="299" spans="1:3" x14ac:dyDescent="0.2">
      <c r="A299" s="35"/>
      <c r="B299" s="36" t="s">
        <v>150</v>
      </c>
      <c r="C299" s="36">
        <v>10272</v>
      </c>
    </row>
    <row r="300" spans="1:3" x14ac:dyDescent="0.2">
      <c r="A300" s="34" t="s">
        <v>79</v>
      </c>
      <c r="B300" s="37"/>
      <c r="C300" s="34">
        <v>227470</v>
      </c>
    </row>
    <row r="301" spans="1:3" x14ac:dyDescent="0.2">
      <c r="A301" s="34" t="s">
        <v>23</v>
      </c>
      <c r="B301" s="34" t="s">
        <v>139</v>
      </c>
      <c r="C301" s="34">
        <v>35561</v>
      </c>
    </row>
    <row r="302" spans="1:3" x14ac:dyDescent="0.2">
      <c r="A302" s="35"/>
      <c r="B302" s="36" t="s">
        <v>140</v>
      </c>
      <c r="C302" s="36">
        <v>23818</v>
      </c>
    </row>
    <row r="303" spans="1:3" x14ac:dyDescent="0.2">
      <c r="A303" s="35"/>
      <c r="B303" s="36" t="s">
        <v>141</v>
      </c>
      <c r="C303" s="36">
        <v>32485</v>
      </c>
    </row>
    <row r="304" spans="1:3" x14ac:dyDescent="0.2">
      <c r="A304" s="35"/>
      <c r="B304" s="36" t="s">
        <v>142</v>
      </c>
      <c r="C304" s="36">
        <v>19874</v>
      </c>
    </row>
    <row r="305" spans="1:3" x14ac:dyDescent="0.2">
      <c r="A305" s="35"/>
      <c r="B305" s="36" t="s">
        <v>143</v>
      </c>
      <c r="C305" s="36">
        <v>16664</v>
      </c>
    </row>
    <row r="306" spans="1:3" x14ac:dyDescent="0.2">
      <c r="A306" s="35"/>
      <c r="B306" s="36" t="s">
        <v>144</v>
      </c>
      <c r="C306" s="36">
        <v>10435</v>
      </c>
    </row>
    <row r="307" spans="1:3" x14ac:dyDescent="0.2">
      <c r="A307" s="35"/>
      <c r="B307" s="36" t="s">
        <v>145</v>
      </c>
      <c r="C307" s="36">
        <v>6270</v>
      </c>
    </row>
    <row r="308" spans="1:3" x14ac:dyDescent="0.2">
      <c r="A308" s="35"/>
      <c r="B308" s="36" t="s">
        <v>146</v>
      </c>
      <c r="C308" s="36">
        <v>5015</v>
      </c>
    </row>
    <row r="309" spans="1:3" x14ac:dyDescent="0.2">
      <c r="A309" s="35"/>
      <c r="B309" s="36" t="s">
        <v>147</v>
      </c>
      <c r="C309" s="36">
        <v>9224</v>
      </c>
    </row>
    <row r="310" spans="1:3" x14ac:dyDescent="0.2">
      <c r="A310" s="35"/>
      <c r="B310" s="36" t="s">
        <v>148</v>
      </c>
      <c r="C310" s="36">
        <v>14805</v>
      </c>
    </row>
    <row r="311" spans="1:3" x14ac:dyDescent="0.2">
      <c r="A311" s="35"/>
      <c r="B311" s="36" t="s">
        <v>149</v>
      </c>
      <c r="C311" s="36">
        <v>17897</v>
      </c>
    </row>
    <row r="312" spans="1:3" x14ac:dyDescent="0.2">
      <c r="A312" s="35"/>
      <c r="B312" s="36" t="s">
        <v>150</v>
      </c>
      <c r="C312" s="36">
        <v>21422</v>
      </c>
    </row>
    <row r="313" spans="1:3" x14ac:dyDescent="0.2">
      <c r="A313" s="34" t="s">
        <v>80</v>
      </c>
      <c r="B313" s="37"/>
      <c r="C313" s="34">
        <v>213470</v>
      </c>
    </row>
    <row r="314" spans="1:3" x14ac:dyDescent="0.2">
      <c r="A314" s="34" t="s">
        <v>24</v>
      </c>
      <c r="B314" s="34" t="s">
        <v>139</v>
      </c>
      <c r="C314" s="34">
        <v>11156</v>
      </c>
    </row>
    <row r="315" spans="1:3" x14ac:dyDescent="0.2">
      <c r="A315" s="35"/>
      <c r="B315" s="36" t="s">
        <v>140</v>
      </c>
      <c r="C315" s="36">
        <v>9918</v>
      </c>
    </row>
    <row r="316" spans="1:3" x14ac:dyDescent="0.2">
      <c r="A316" s="35"/>
      <c r="B316" s="36" t="s">
        <v>141</v>
      </c>
      <c r="C316" s="36">
        <v>12629</v>
      </c>
    </row>
    <row r="317" spans="1:3" x14ac:dyDescent="0.2">
      <c r="A317" s="35"/>
      <c r="B317" s="36" t="s">
        <v>142</v>
      </c>
      <c r="C317" s="36">
        <v>12815</v>
      </c>
    </row>
    <row r="318" spans="1:3" x14ac:dyDescent="0.2">
      <c r="A318" s="35"/>
      <c r="B318" s="36" t="s">
        <v>143</v>
      </c>
      <c r="C318" s="36">
        <v>11440</v>
      </c>
    </row>
    <row r="319" spans="1:3" x14ac:dyDescent="0.2">
      <c r="A319" s="35"/>
      <c r="B319" s="36" t="s">
        <v>144</v>
      </c>
      <c r="C319" s="36">
        <v>6978</v>
      </c>
    </row>
    <row r="320" spans="1:3" x14ac:dyDescent="0.2">
      <c r="A320" s="35"/>
      <c r="B320" s="36" t="s">
        <v>145</v>
      </c>
      <c r="C320" s="36">
        <v>4758</v>
      </c>
    </row>
    <row r="321" spans="1:3" x14ac:dyDescent="0.2">
      <c r="A321" s="35"/>
      <c r="B321" s="36" t="s">
        <v>146</v>
      </c>
      <c r="C321" s="36">
        <v>4561</v>
      </c>
    </row>
    <row r="322" spans="1:3" x14ac:dyDescent="0.2">
      <c r="A322" s="35"/>
      <c r="B322" s="36" t="s">
        <v>147</v>
      </c>
      <c r="C322" s="36">
        <v>4929</v>
      </c>
    </row>
    <row r="323" spans="1:3" x14ac:dyDescent="0.2">
      <c r="A323" s="35"/>
      <c r="B323" s="36" t="s">
        <v>148</v>
      </c>
      <c r="C323" s="36">
        <v>3636</v>
      </c>
    </row>
    <row r="324" spans="1:3" x14ac:dyDescent="0.2">
      <c r="A324" s="35"/>
      <c r="B324" s="36" t="s">
        <v>149</v>
      </c>
      <c r="C324" s="36">
        <v>2906</v>
      </c>
    </row>
    <row r="325" spans="1:3" x14ac:dyDescent="0.2">
      <c r="A325" s="35"/>
      <c r="B325" s="36" t="s">
        <v>150</v>
      </c>
      <c r="C325" s="36">
        <v>3901</v>
      </c>
    </row>
    <row r="326" spans="1:3" x14ac:dyDescent="0.2">
      <c r="A326" s="34" t="s">
        <v>81</v>
      </c>
      <c r="B326" s="37"/>
      <c r="C326" s="34">
        <v>89627</v>
      </c>
    </row>
    <row r="327" spans="1:3" x14ac:dyDescent="0.2">
      <c r="A327" s="34" t="s">
        <v>25</v>
      </c>
      <c r="B327" s="34" t="s">
        <v>139</v>
      </c>
      <c r="C327" s="34">
        <v>16920</v>
      </c>
    </row>
    <row r="328" spans="1:3" x14ac:dyDescent="0.2">
      <c r="A328" s="35"/>
      <c r="B328" s="36" t="s">
        <v>140</v>
      </c>
      <c r="C328" s="36">
        <v>11275</v>
      </c>
    </row>
    <row r="329" spans="1:3" x14ac:dyDescent="0.2">
      <c r="A329" s="35"/>
      <c r="B329" s="36" t="s">
        <v>141</v>
      </c>
      <c r="C329" s="36">
        <v>13542</v>
      </c>
    </row>
    <row r="330" spans="1:3" x14ac:dyDescent="0.2">
      <c r="A330" s="35"/>
      <c r="B330" s="36" t="s">
        <v>142</v>
      </c>
      <c r="C330" s="36">
        <v>16240</v>
      </c>
    </row>
    <row r="331" spans="1:3" x14ac:dyDescent="0.2">
      <c r="A331" s="35"/>
      <c r="B331" s="36" t="s">
        <v>143</v>
      </c>
      <c r="C331" s="36">
        <v>18415</v>
      </c>
    </row>
    <row r="332" spans="1:3" x14ac:dyDescent="0.2">
      <c r="A332" s="35"/>
      <c r="B332" s="36" t="s">
        <v>144</v>
      </c>
      <c r="C332" s="36">
        <v>14918</v>
      </c>
    </row>
    <row r="333" spans="1:3" x14ac:dyDescent="0.2">
      <c r="A333" s="35"/>
      <c r="B333" s="36" t="s">
        <v>145</v>
      </c>
      <c r="C333" s="36">
        <v>6393</v>
      </c>
    </row>
    <row r="334" spans="1:3" x14ac:dyDescent="0.2">
      <c r="A334" s="35"/>
      <c r="B334" s="36" t="s">
        <v>146</v>
      </c>
      <c r="C334" s="36">
        <v>3739</v>
      </c>
    </row>
    <row r="335" spans="1:3" x14ac:dyDescent="0.2">
      <c r="A335" s="35"/>
      <c r="B335" s="36" t="s">
        <v>147</v>
      </c>
      <c r="C335" s="36">
        <v>4038</v>
      </c>
    </row>
    <row r="336" spans="1:3" x14ac:dyDescent="0.2">
      <c r="A336" s="35"/>
      <c r="B336" s="36" t="s">
        <v>148</v>
      </c>
      <c r="C336" s="36">
        <v>3769</v>
      </c>
    </row>
    <row r="337" spans="1:3" x14ac:dyDescent="0.2">
      <c r="A337" s="35"/>
      <c r="B337" s="36" t="s">
        <v>149</v>
      </c>
      <c r="C337" s="36">
        <v>4002</v>
      </c>
    </row>
    <row r="338" spans="1:3" x14ac:dyDescent="0.2">
      <c r="A338" s="35"/>
      <c r="B338" s="36" t="s">
        <v>150</v>
      </c>
      <c r="C338" s="36">
        <v>5640</v>
      </c>
    </row>
    <row r="339" spans="1:3" x14ac:dyDescent="0.2">
      <c r="A339" s="34" t="s">
        <v>82</v>
      </c>
      <c r="B339" s="37"/>
      <c r="C339" s="34">
        <v>118891</v>
      </c>
    </row>
    <row r="340" spans="1:3" x14ac:dyDescent="0.2">
      <c r="A340" s="34" t="s">
        <v>26</v>
      </c>
      <c r="B340" s="34" t="s">
        <v>139</v>
      </c>
      <c r="C340" s="34">
        <v>45403</v>
      </c>
    </row>
    <row r="341" spans="1:3" x14ac:dyDescent="0.2">
      <c r="A341" s="35"/>
      <c r="B341" s="36" t="s">
        <v>140</v>
      </c>
      <c r="C341" s="36">
        <v>44653</v>
      </c>
    </row>
    <row r="342" spans="1:3" x14ac:dyDescent="0.2">
      <c r="A342" s="35"/>
      <c r="B342" s="36" t="s">
        <v>141</v>
      </c>
      <c r="C342" s="36">
        <v>53340</v>
      </c>
    </row>
    <row r="343" spans="1:3" x14ac:dyDescent="0.2">
      <c r="A343" s="35"/>
      <c r="B343" s="36" t="s">
        <v>142</v>
      </c>
      <c r="C343" s="36">
        <v>43779</v>
      </c>
    </row>
    <row r="344" spans="1:3" x14ac:dyDescent="0.2">
      <c r="A344" s="35"/>
      <c r="B344" s="36" t="s">
        <v>143</v>
      </c>
      <c r="C344" s="36">
        <v>33066</v>
      </c>
    </row>
    <row r="345" spans="1:3" x14ac:dyDescent="0.2">
      <c r="A345" s="35"/>
      <c r="B345" s="36" t="s">
        <v>144</v>
      </c>
      <c r="C345" s="36">
        <v>24295</v>
      </c>
    </row>
    <row r="346" spans="1:3" x14ac:dyDescent="0.2">
      <c r="A346" s="35"/>
      <c r="B346" s="36" t="s">
        <v>145</v>
      </c>
      <c r="C346" s="36">
        <v>19445</v>
      </c>
    </row>
    <row r="347" spans="1:3" x14ac:dyDescent="0.2">
      <c r="A347" s="35"/>
      <c r="B347" s="36" t="s">
        <v>146</v>
      </c>
      <c r="C347" s="36">
        <v>14608</v>
      </c>
    </row>
    <row r="348" spans="1:3" x14ac:dyDescent="0.2">
      <c r="A348" s="35"/>
      <c r="B348" s="36" t="s">
        <v>147</v>
      </c>
      <c r="C348" s="36">
        <v>18098</v>
      </c>
    </row>
    <row r="349" spans="1:3" x14ac:dyDescent="0.2">
      <c r="A349" s="35"/>
      <c r="B349" s="36" t="s">
        <v>148</v>
      </c>
      <c r="C349" s="36">
        <v>21925</v>
      </c>
    </row>
    <row r="350" spans="1:3" x14ac:dyDescent="0.2">
      <c r="A350" s="35"/>
      <c r="B350" s="36" t="s">
        <v>149</v>
      </c>
      <c r="C350" s="36">
        <v>14251</v>
      </c>
    </row>
    <row r="351" spans="1:3" x14ac:dyDescent="0.2">
      <c r="A351" s="35"/>
      <c r="B351" s="36" t="s">
        <v>150</v>
      </c>
      <c r="C351" s="36">
        <v>9915</v>
      </c>
    </row>
    <row r="352" spans="1:3" x14ac:dyDescent="0.2">
      <c r="A352" s="34" t="s">
        <v>83</v>
      </c>
      <c r="B352" s="37"/>
      <c r="C352" s="34">
        <v>342778</v>
      </c>
    </row>
    <row r="353" spans="1:3" x14ac:dyDescent="0.2">
      <c r="A353" s="34" t="s">
        <v>27</v>
      </c>
      <c r="B353" s="34" t="s">
        <v>139</v>
      </c>
      <c r="C353" s="34">
        <v>26512</v>
      </c>
    </row>
    <row r="354" spans="1:3" x14ac:dyDescent="0.2">
      <c r="A354" s="35"/>
      <c r="B354" s="36" t="s">
        <v>140</v>
      </c>
      <c r="C354" s="36">
        <v>16742</v>
      </c>
    </row>
    <row r="355" spans="1:3" x14ac:dyDescent="0.2">
      <c r="A355" s="35"/>
      <c r="B355" s="36" t="s">
        <v>141</v>
      </c>
      <c r="C355" s="36">
        <v>17743</v>
      </c>
    </row>
    <row r="356" spans="1:3" x14ac:dyDescent="0.2">
      <c r="A356" s="35"/>
      <c r="B356" s="36" t="s">
        <v>142</v>
      </c>
      <c r="C356" s="36">
        <v>14986</v>
      </c>
    </row>
    <row r="357" spans="1:3" x14ac:dyDescent="0.2">
      <c r="A357" s="35"/>
      <c r="B357" s="36" t="s">
        <v>143</v>
      </c>
      <c r="C357" s="36">
        <v>13340</v>
      </c>
    </row>
    <row r="358" spans="1:3" x14ac:dyDescent="0.2">
      <c r="A358" s="35"/>
      <c r="B358" s="36" t="s">
        <v>144</v>
      </c>
      <c r="C358" s="36">
        <v>8076</v>
      </c>
    </row>
    <row r="359" spans="1:3" x14ac:dyDescent="0.2">
      <c r="A359" s="35"/>
      <c r="B359" s="36" t="s">
        <v>145</v>
      </c>
      <c r="C359" s="36">
        <v>4714</v>
      </c>
    </row>
    <row r="360" spans="1:3" x14ac:dyDescent="0.2">
      <c r="A360" s="35"/>
      <c r="B360" s="36" t="s">
        <v>146</v>
      </c>
      <c r="C360" s="36">
        <v>4455</v>
      </c>
    </row>
    <row r="361" spans="1:3" x14ac:dyDescent="0.2">
      <c r="A361" s="35"/>
      <c r="B361" s="36" t="s">
        <v>147</v>
      </c>
      <c r="C361" s="36">
        <v>4754</v>
      </c>
    </row>
    <row r="362" spans="1:3" x14ac:dyDescent="0.2">
      <c r="A362" s="35"/>
      <c r="B362" s="36" t="s">
        <v>148</v>
      </c>
      <c r="C362" s="36">
        <v>5448</v>
      </c>
    </row>
    <row r="363" spans="1:3" x14ac:dyDescent="0.2">
      <c r="A363" s="35"/>
      <c r="B363" s="36" t="s">
        <v>149</v>
      </c>
      <c r="C363" s="36">
        <v>5990</v>
      </c>
    </row>
    <row r="364" spans="1:3" x14ac:dyDescent="0.2">
      <c r="A364" s="35"/>
      <c r="B364" s="36" t="s">
        <v>150</v>
      </c>
      <c r="C364" s="36">
        <v>8538</v>
      </c>
    </row>
    <row r="365" spans="1:3" x14ac:dyDescent="0.2">
      <c r="A365" s="34" t="s">
        <v>84</v>
      </c>
      <c r="B365" s="37"/>
      <c r="C365" s="34">
        <v>131298</v>
      </c>
    </row>
    <row r="366" spans="1:3" x14ac:dyDescent="0.2">
      <c r="A366" s="34" t="s">
        <v>28</v>
      </c>
      <c r="B366" s="34" t="s">
        <v>139</v>
      </c>
      <c r="C366" s="34">
        <v>42807</v>
      </c>
    </row>
    <row r="367" spans="1:3" x14ac:dyDescent="0.2">
      <c r="A367" s="35"/>
      <c r="B367" s="36" t="s">
        <v>140</v>
      </c>
      <c r="C367" s="36">
        <v>28191</v>
      </c>
    </row>
    <row r="368" spans="1:3" x14ac:dyDescent="0.2">
      <c r="A368" s="35"/>
      <c r="B368" s="36" t="s">
        <v>141</v>
      </c>
      <c r="C368" s="36">
        <v>44215</v>
      </c>
    </row>
    <row r="369" spans="1:3" x14ac:dyDescent="0.2">
      <c r="A369" s="35"/>
      <c r="B369" s="36" t="s">
        <v>142</v>
      </c>
      <c r="C369" s="36">
        <v>38850</v>
      </c>
    </row>
    <row r="370" spans="1:3" x14ac:dyDescent="0.2">
      <c r="A370" s="35"/>
      <c r="B370" s="36" t="s">
        <v>143</v>
      </c>
      <c r="C370" s="36">
        <v>42238</v>
      </c>
    </row>
    <row r="371" spans="1:3" x14ac:dyDescent="0.2">
      <c r="A371" s="35"/>
      <c r="B371" s="36" t="s">
        <v>144</v>
      </c>
      <c r="C371" s="36">
        <v>31819</v>
      </c>
    </row>
    <row r="372" spans="1:3" x14ac:dyDescent="0.2">
      <c r="A372" s="35"/>
      <c r="B372" s="36" t="s">
        <v>145</v>
      </c>
      <c r="C372" s="36">
        <v>16454</v>
      </c>
    </row>
    <row r="373" spans="1:3" x14ac:dyDescent="0.2">
      <c r="A373" s="35"/>
      <c r="B373" s="36" t="s">
        <v>146</v>
      </c>
      <c r="C373" s="36">
        <v>18579</v>
      </c>
    </row>
    <row r="374" spans="1:3" x14ac:dyDescent="0.2">
      <c r="A374" s="35"/>
      <c r="B374" s="36" t="s">
        <v>147</v>
      </c>
      <c r="C374" s="36">
        <v>16060</v>
      </c>
    </row>
    <row r="375" spans="1:3" x14ac:dyDescent="0.2">
      <c r="A375" s="35"/>
      <c r="B375" s="36" t="s">
        <v>148</v>
      </c>
      <c r="C375" s="36">
        <v>14993</v>
      </c>
    </row>
    <row r="376" spans="1:3" x14ac:dyDescent="0.2">
      <c r="A376" s="35"/>
      <c r="B376" s="36" t="s">
        <v>149</v>
      </c>
      <c r="C376" s="36">
        <v>13612</v>
      </c>
    </row>
    <row r="377" spans="1:3" x14ac:dyDescent="0.2">
      <c r="A377" s="35"/>
      <c r="B377" s="36" t="s">
        <v>150</v>
      </c>
      <c r="C377" s="36">
        <v>10955</v>
      </c>
    </row>
    <row r="378" spans="1:3" x14ac:dyDescent="0.2">
      <c r="A378" s="34" t="s">
        <v>85</v>
      </c>
      <c r="B378" s="37"/>
      <c r="C378" s="34">
        <v>318773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78"/>
  <sheetViews>
    <sheetView topLeftCell="A341" workbookViewId="0">
      <selection activeCell="A378" sqref="A378"/>
    </sheetView>
  </sheetViews>
  <sheetFormatPr baseColWidth="10" defaultColWidth="8.83203125" defaultRowHeight="15" x14ac:dyDescent="0.2"/>
  <cols>
    <col min="1" max="1" width="21.1640625" bestFit="1" customWidth="1"/>
    <col min="2" max="2" width="13.83203125" bestFit="1" customWidth="1"/>
    <col min="3" max="3" width="11" customWidth="1"/>
  </cols>
  <sheetData>
    <row r="1" spans="1:3" x14ac:dyDescent="0.2">
      <c r="A1" s="38" t="s">
        <v>30</v>
      </c>
      <c r="B1" s="38" t="s">
        <v>43</v>
      </c>
      <c r="C1" s="38" t="s">
        <v>123</v>
      </c>
    </row>
    <row r="2" spans="1:3" x14ac:dyDescent="0.2">
      <c r="A2" s="34" t="s">
        <v>0</v>
      </c>
      <c r="B2" s="34" t="s">
        <v>151</v>
      </c>
      <c r="C2" s="34">
        <v>4127</v>
      </c>
    </row>
    <row r="3" spans="1:3" x14ac:dyDescent="0.2">
      <c r="A3" s="35"/>
      <c r="B3" s="36" t="s">
        <v>152</v>
      </c>
      <c r="C3" s="36">
        <v>6835</v>
      </c>
    </row>
    <row r="4" spans="1:3" x14ac:dyDescent="0.2">
      <c r="A4" s="35"/>
      <c r="B4" s="36" t="s">
        <v>153</v>
      </c>
      <c r="C4" s="36">
        <v>6772</v>
      </c>
    </row>
    <row r="5" spans="1:3" x14ac:dyDescent="0.2">
      <c r="A5" s="35"/>
      <c r="B5" s="36" t="s">
        <v>154</v>
      </c>
      <c r="C5" s="36">
        <v>14302</v>
      </c>
    </row>
    <row r="6" spans="1:3" x14ac:dyDescent="0.2">
      <c r="A6" s="35"/>
      <c r="B6" s="36" t="s">
        <v>155</v>
      </c>
      <c r="C6" s="36">
        <v>24566</v>
      </c>
    </row>
    <row r="7" spans="1:3" x14ac:dyDescent="0.2">
      <c r="A7" s="35"/>
      <c r="B7" s="36" t="s">
        <v>156</v>
      </c>
      <c r="C7" s="36">
        <v>18696</v>
      </c>
    </row>
    <row r="8" spans="1:3" x14ac:dyDescent="0.2">
      <c r="A8" s="35"/>
      <c r="B8" s="36" t="s">
        <v>157</v>
      </c>
      <c r="C8" s="36">
        <v>13708</v>
      </c>
    </row>
    <row r="9" spans="1:3" x14ac:dyDescent="0.2">
      <c r="A9" s="35"/>
      <c r="B9" s="36" t="s">
        <v>158</v>
      </c>
      <c r="C9" s="36">
        <v>18202</v>
      </c>
    </row>
    <row r="10" spans="1:3" x14ac:dyDescent="0.2">
      <c r="A10" s="35"/>
      <c r="B10" s="36" t="s">
        <v>159</v>
      </c>
      <c r="C10" s="36">
        <v>11850</v>
      </c>
    </row>
    <row r="11" spans="1:3" x14ac:dyDescent="0.2">
      <c r="A11" s="35"/>
      <c r="B11" s="36" t="s">
        <v>160</v>
      </c>
      <c r="C11" s="36">
        <v>11709</v>
      </c>
    </row>
    <row r="12" spans="1:3" x14ac:dyDescent="0.2">
      <c r="A12" s="35"/>
      <c r="B12" s="36" t="s">
        <v>161</v>
      </c>
      <c r="C12" s="36">
        <v>6289</v>
      </c>
    </row>
    <row r="13" spans="1:3" x14ac:dyDescent="0.2">
      <c r="A13" s="35"/>
      <c r="B13" s="36" t="s">
        <v>162</v>
      </c>
      <c r="C13" s="36">
        <v>3184</v>
      </c>
    </row>
    <row r="14" spans="1:3" x14ac:dyDescent="0.2">
      <c r="A14" s="34" t="s">
        <v>57</v>
      </c>
      <c r="B14" s="37"/>
      <c r="C14" s="34">
        <v>140240</v>
      </c>
    </row>
    <row r="15" spans="1:3" x14ac:dyDescent="0.2">
      <c r="A15" s="34" t="s">
        <v>1</v>
      </c>
      <c r="B15" s="34" t="s">
        <v>151</v>
      </c>
      <c r="C15" s="34">
        <v>12573</v>
      </c>
    </row>
    <row r="16" spans="1:3" x14ac:dyDescent="0.2">
      <c r="A16" s="35"/>
      <c r="B16" s="36" t="s">
        <v>152</v>
      </c>
      <c r="C16" s="36">
        <v>24363</v>
      </c>
    </row>
    <row r="17" spans="1:3" x14ac:dyDescent="0.2">
      <c r="A17" s="35"/>
      <c r="B17" s="36" t="s">
        <v>153</v>
      </c>
      <c r="C17" s="36">
        <v>22750</v>
      </c>
    </row>
    <row r="18" spans="1:3" x14ac:dyDescent="0.2">
      <c r="A18" s="35"/>
      <c r="B18" s="36" t="s">
        <v>154</v>
      </c>
      <c r="C18" s="36">
        <v>25624</v>
      </c>
    </row>
    <row r="19" spans="1:3" x14ac:dyDescent="0.2">
      <c r="A19" s="35"/>
      <c r="B19" s="36" t="s">
        <v>155</v>
      </c>
      <c r="C19" s="36">
        <v>28728</v>
      </c>
    </row>
    <row r="20" spans="1:3" x14ac:dyDescent="0.2">
      <c r="A20" s="35"/>
      <c r="B20" s="36" t="s">
        <v>156</v>
      </c>
      <c r="C20" s="36">
        <v>23239</v>
      </c>
    </row>
    <row r="21" spans="1:3" x14ac:dyDescent="0.2">
      <c r="A21" s="35"/>
      <c r="B21" s="36" t="s">
        <v>157</v>
      </c>
      <c r="C21" s="36">
        <v>18496</v>
      </c>
    </row>
    <row r="22" spans="1:3" x14ac:dyDescent="0.2">
      <c r="A22" s="35"/>
      <c r="B22" s="36" t="s">
        <v>158</v>
      </c>
      <c r="C22" s="36">
        <v>16749</v>
      </c>
    </row>
    <row r="23" spans="1:3" x14ac:dyDescent="0.2">
      <c r="A23" s="35"/>
      <c r="B23" s="36" t="s">
        <v>159</v>
      </c>
      <c r="C23" s="36">
        <v>13421</v>
      </c>
    </row>
    <row r="24" spans="1:3" x14ac:dyDescent="0.2">
      <c r="A24" s="35"/>
      <c r="B24" s="36" t="s">
        <v>160</v>
      </c>
      <c r="C24" s="36">
        <v>15547</v>
      </c>
    </row>
    <row r="25" spans="1:3" x14ac:dyDescent="0.2">
      <c r="A25" s="35"/>
      <c r="B25" s="36" t="s">
        <v>161</v>
      </c>
      <c r="C25" s="36">
        <v>11926</v>
      </c>
    </row>
    <row r="26" spans="1:3" x14ac:dyDescent="0.2">
      <c r="A26" s="35"/>
      <c r="B26" s="36" t="s">
        <v>162</v>
      </c>
      <c r="C26" s="36">
        <v>14194</v>
      </c>
    </row>
    <row r="27" spans="1:3" x14ac:dyDescent="0.2">
      <c r="A27" s="34" t="s">
        <v>58</v>
      </c>
      <c r="B27" s="37"/>
      <c r="C27" s="34">
        <v>227610</v>
      </c>
    </row>
    <row r="28" spans="1:3" x14ac:dyDescent="0.2">
      <c r="A28" s="34" t="s">
        <v>2</v>
      </c>
      <c r="B28" s="34" t="s">
        <v>151</v>
      </c>
      <c r="C28" s="34">
        <v>7732</v>
      </c>
    </row>
    <row r="29" spans="1:3" x14ac:dyDescent="0.2">
      <c r="A29" s="35"/>
      <c r="B29" s="36" t="s">
        <v>152</v>
      </c>
      <c r="C29" s="36">
        <v>10839</v>
      </c>
    </row>
    <row r="30" spans="1:3" x14ac:dyDescent="0.2">
      <c r="A30" s="35"/>
      <c r="B30" s="36" t="s">
        <v>153</v>
      </c>
      <c r="C30" s="36">
        <v>13899</v>
      </c>
    </row>
    <row r="31" spans="1:3" x14ac:dyDescent="0.2">
      <c r="A31" s="35"/>
      <c r="B31" s="36" t="s">
        <v>154</v>
      </c>
      <c r="C31" s="36">
        <v>16282</v>
      </c>
    </row>
    <row r="32" spans="1:3" x14ac:dyDescent="0.2">
      <c r="A32" s="35"/>
      <c r="B32" s="36" t="s">
        <v>155</v>
      </c>
      <c r="C32" s="36">
        <v>15213</v>
      </c>
    </row>
    <row r="33" spans="1:3" x14ac:dyDescent="0.2">
      <c r="A33" s="35"/>
      <c r="B33" s="36" t="s">
        <v>156</v>
      </c>
      <c r="C33" s="36">
        <v>8725</v>
      </c>
    </row>
    <row r="34" spans="1:3" x14ac:dyDescent="0.2">
      <c r="A34" s="35"/>
      <c r="B34" s="36" t="s">
        <v>157</v>
      </c>
      <c r="C34" s="36">
        <v>6400</v>
      </c>
    </row>
    <row r="35" spans="1:3" x14ac:dyDescent="0.2">
      <c r="A35" s="35"/>
      <c r="B35" s="36" t="s">
        <v>158</v>
      </c>
      <c r="C35" s="36">
        <v>7673</v>
      </c>
    </row>
    <row r="36" spans="1:3" x14ac:dyDescent="0.2">
      <c r="A36" s="35"/>
      <c r="B36" s="36" t="s">
        <v>159</v>
      </c>
      <c r="C36" s="36">
        <v>5173</v>
      </c>
    </row>
    <row r="37" spans="1:3" x14ac:dyDescent="0.2">
      <c r="A37" s="35"/>
      <c r="B37" s="36" t="s">
        <v>160</v>
      </c>
      <c r="C37" s="36">
        <v>4684</v>
      </c>
    </row>
    <row r="38" spans="1:3" x14ac:dyDescent="0.2">
      <c r="A38" s="35"/>
      <c r="B38" s="36" t="s">
        <v>161</v>
      </c>
      <c r="C38" s="36">
        <v>3254</v>
      </c>
    </row>
    <row r="39" spans="1:3" x14ac:dyDescent="0.2">
      <c r="A39" s="35"/>
      <c r="B39" s="36" t="s">
        <v>162</v>
      </c>
      <c r="C39" s="36">
        <v>3151</v>
      </c>
    </row>
    <row r="40" spans="1:3" x14ac:dyDescent="0.2">
      <c r="A40" s="34" t="s">
        <v>59</v>
      </c>
      <c r="B40" s="37"/>
      <c r="C40" s="34">
        <v>103025</v>
      </c>
    </row>
    <row r="41" spans="1:3" x14ac:dyDescent="0.2">
      <c r="A41" s="34" t="s">
        <v>3</v>
      </c>
      <c r="B41" s="34" t="s">
        <v>151</v>
      </c>
      <c r="C41" s="34">
        <v>1338</v>
      </c>
    </row>
    <row r="42" spans="1:3" x14ac:dyDescent="0.2">
      <c r="A42" s="35"/>
      <c r="B42" s="36" t="s">
        <v>152</v>
      </c>
      <c r="C42" s="36">
        <v>997</v>
      </c>
    </row>
    <row r="43" spans="1:3" x14ac:dyDescent="0.2">
      <c r="A43" s="35"/>
      <c r="B43" s="36" t="s">
        <v>153</v>
      </c>
      <c r="C43" s="36">
        <v>999</v>
      </c>
    </row>
    <row r="44" spans="1:3" x14ac:dyDescent="0.2">
      <c r="A44" s="35"/>
      <c r="B44" s="36" t="s">
        <v>154</v>
      </c>
      <c r="C44" s="36">
        <v>1432</v>
      </c>
    </row>
    <row r="45" spans="1:3" x14ac:dyDescent="0.2">
      <c r="A45" s="35"/>
      <c r="B45" s="36" t="s">
        <v>155</v>
      </c>
      <c r="C45" s="36">
        <v>2323</v>
      </c>
    </row>
    <row r="46" spans="1:3" x14ac:dyDescent="0.2">
      <c r="A46" s="35"/>
      <c r="B46" s="36" t="s">
        <v>156</v>
      </c>
      <c r="C46" s="36">
        <v>1774</v>
      </c>
    </row>
    <row r="47" spans="1:3" x14ac:dyDescent="0.2">
      <c r="A47" s="35"/>
      <c r="B47" s="36" t="s">
        <v>157</v>
      </c>
      <c r="C47" s="36">
        <v>738</v>
      </c>
    </row>
    <row r="48" spans="1:3" x14ac:dyDescent="0.2">
      <c r="A48" s="35"/>
      <c r="B48" s="36" t="s">
        <v>158</v>
      </c>
      <c r="C48" s="36">
        <v>601</v>
      </c>
    </row>
    <row r="49" spans="1:3" x14ac:dyDescent="0.2">
      <c r="A49" s="35"/>
      <c r="B49" s="36" t="s">
        <v>159</v>
      </c>
      <c r="C49" s="36">
        <v>601</v>
      </c>
    </row>
    <row r="50" spans="1:3" x14ac:dyDescent="0.2">
      <c r="A50" s="35"/>
      <c r="B50" s="36" t="s">
        <v>160</v>
      </c>
      <c r="C50" s="36">
        <v>1072</v>
      </c>
    </row>
    <row r="51" spans="1:3" x14ac:dyDescent="0.2">
      <c r="A51" s="35"/>
      <c r="B51" s="36" t="s">
        <v>161</v>
      </c>
      <c r="C51" s="36">
        <v>980</v>
      </c>
    </row>
    <row r="52" spans="1:3" x14ac:dyDescent="0.2">
      <c r="A52" s="35"/>
      <c r="B52" s="36" t="s">
        <v>162</v>
      </c>
      <c r="C52" s="36">
        <v>1738</v>
      </c>
    </row>
    <row r="53" spans="1:3" x14ac:dyDescent="0.2">
      <c r="A53" s="34" t="s">
        <v>60</v>
      </c>
      <c r="B53" s="37"/>
      <c r="C53" s="34">
        <v>14593</v>
      </c>
    </row>
    <row r="54" spans="1:3" x14ac:dyDescent="0.2">
      <c r="A54" s="34" t="s">
        <v>4</v>
      </c>
      <c r="B54" s="34" t="s">
        <v>151</v>
      </c>
      <c r="C54" s="34">
        <v>7793</v>
      </c>
    </row>
    <row r="55" spans="1:3" x14ac:dyDescent="0.2">
      <c r="A55" s="35"/>
      <c r="B55" s="36" t="s">
        <v>152</v>
      </c>
      <c r="C55" s="36">
        <v>8910</v>
      </c>
    </row>
    <row r="56" spans="1:3" x14ac:dyDescent="0.2">
      <c r="A56" s="35"/>
      <c r="B56" s="36" t="s">
        <v>153</v>
      </c>
      <c r="C56" s="36">
        <v>6509</v>
      </c>
    </row>
    <row r="57" spans="1:3" x14ac:dyDescent="0.2">
      <c r="A57" s="35"/>
      <c r="B57" s="36" t="s">
        <v>154</v>
      </c>
      <c r="C57" s="36">
        <v>6592</v>
      </c>
    </row>
    <row r="58" spans="1:3" x14ac:dyDescent="0.2">
      <c r="A58" s="35"/>
      <c r="B58" s="36" t="s">
        <v>155</v>
      </c>
      <c r="C58" s="36">
        <v>4326</v>
      </c>
    </row>
    <row r="59" spans="1:3" x14ac:dyDescent="0.2">
      <c r="A59" s="35"/>
      <c r="B59" s="36" t="s">
        <v>156</v>
      </c>
      <c r="C59" s="36">
        <v>3148</v>
      </c>
    </row>
    <row r="60" spans="1:3" x14ac:dyDescent="0.2">
      <c r="A60" s="35"/>
      <c r="B60" s="36" t="s">
        <v>157</v>
      </c>
      <c r="C60" s="36">
        <v>1983</v>
      </c>
    </row>
    <row r="61" spans="1:3" x14ac:dyDescent="0.2">
      <c r="A61" s="35"/>
      <c r="B61" s="36" t="s">
        <v>158</v>
      </c>
      <c r="C61" s="36">
        <v>1074</v>
      </c>
    </row>
    <row r="62" spans="1:3" x14ac:dyDescent="0.2">
      <c r="A62" s="35"/>
      <c r="B62" s="36" t="s">
        <v>159</v>
      </c>
      <c r="C62" s="36">
        <v>932</v>
      </c>
    </row>
    <row r="63" spans="1:3" x14ac:dyDescent="0.2">
      <c r="A63" s="35"/>
      <c r="B63" s="36" t="s">
        <v>160</v>
      </c>
      <c r="C63" s="36">
        <v>734</v>
      </c>
    </row>
    <row r="64" spans="1:3" x14ac:dyDescent="0.2">
      <c r="A64" s="35"/>
      <c r="B64" s="36" t="s">
        <v>161</v>
      </c>
      <c r="C64" s="36">
        <v>791</v>
      </c>
    </row>
    <row r="65" spans="1:3" x14ac:dyDescent="0.2">
      <c r="A65" s="35"/>
      <c r="B65" s="36" t="s">
        <v>162</v>
      </c>
      <c r="C65" s="36">
        <v>1533</v>
      </c>
    </row>
    <row r="66" spans="1:3" x14ac:dyDescent="0.2">
      <c r="A66" s="34" t="s">
        <v>61</v>
      </c>
      <c r="B66" s="37"/>
      <c r="C66" s="34">
        <v>44325</v>
      </c>
    </row>
    <row r="67" spans="1:3" x14ac:dyDescent="0.2">
      <c r="A67" s="34" t="s">
        <v>5</v>
      </c>
      <c r="B67" s="34" t="s">
        <v>151</v>
      </c>
      <c r="C67" s="34">
        <v>29449</v>
      </c>
    </row>
    <row r="68" spans="1:3" x14ac:dyDescent="0.2">
      <c r="A68" s="35"/>
      <c r="B68" s="36" t="s">
        <v>152</v>
      </c>
      <c r="C68" s="36">
        <v>31725</v>
      </c>
    </row>
    <row r="69" spans="1:3" x14ac:dyDescent="0.2">
      <c r="A69" s="35"/>
      <c r="B69" s="36" t="s">
        <v>153</v>
      </c>
      <c r="C69" s="36">
        <v>30786</v>
      </c>
    </row>
    <row r="70" spans="1:3" x14ac:dyDescent="0.2">
      <c r="A70" s="35"/>
      <c r="B70" s="36" t="s">
        <v>154</v>
      </c>
      <c r="C70" s="36">
        <v>28643</v>
      </c>
    </row>
    <row r="71" spans="1:3" x14ac:dyDescent="0.2">
      <c r="A71" s="35"/>
      <c r="B71" s="36" t="s">
        <v>155</v>
      </c>
      <c r="C71" s="36">
        <v>26560</v>
      </c>
    </row>
    <row r="72" spans="1:3" x14ac:dyDescent="0.2">
      <c r="A72" s="35"/>
      <c r="B72" s="36" t="s">
        <v>156</v>
      </c>
      <c r="C72" s="36">
        <v>18226</v>
      </c>
    </row>
    <row r="73" spans="1:3" x14ac:dyDescent="0.2">
      <c r="A73" s="35"/>
      <c r="B73" s="36" t="s">
        <v>157</v>
      </c>
      <c r="C73" s="36">
        <v>9699</v>
      </c>
    </row>
    <row r="74" spans="1:3" x14ac:dyDescent="0.2">
      <c r="A74" s="35"/>
      <c r="B74" s="36" t="s">
        <v>158</v>
      </c>
      <c r="C74" s="36">
        <v>7712</v>
      </c>
    </row>
    <row r="75" spans="1:3" x14ac:dyDescent="0.2">
      <c r="A75" s="35"/>
      <c r="B75" s="36" t="s">
        <v>159</v>
      </c>
      <c r="C75" s="36">
        <v>7362</v>
      </c>
    </row>
    <row r="76" spans="1:3" x14ac:dyDescent="0.2">
      <c r="A76" s="35"/>
      <c r="B76" s="36" t="s">
        <v>160</v>
      </c>
      <c r="C76" s="36">
        <v>9973</v>
      </c>
    </row>
    <row r="77" spans="1:3" x14ac:dyDescent="0.2">
      <c r="A77" s="35"/>
      <c r="B77" s="36" t="s">
        <v>161</v>
      </c>
      <c r="C77" s="36">
        <v>10462</v>
      </c>
    </row>
    <row r="78" spans="1:3" x14ac:dyDescent="0.2">
      <c r="A78" s="35"/>
      <c r="B78" s="36" t="s">
        <v>162</v>
      </c>
      <c r="C78" s="36">
        <v>12207</v>
      </c>
    </row>
    <row r="79" spans="1:3" x14ac:dyDescent="0.2">
      <c r="A79" s="34" t="s">
        <v>62</v>
      </c>
      <c r="B79" s="37"/>
      <c r="C79" s="34">
        <v>222804</v>
      </c>
    </row>
    <row r="80" spans="1:3" x14ac:dyDescent="0.2">
      <c r="A80" s="34" t="s">
        <v>6</v>
      </c>
      <c r="B80" s="34" t="s">
        <v>151</v>
      </c>
      <c r="C80" s="34">
        <v>25164</v>
      </c>
    </row>
    <row r="81" spans="1:3" x14ac:dyDescent="0.2">
      <c r="A81" s="35"/>
      <c r="B81" s="36" t="s">
        <v>152</v>
      </c>
      <c r="C81" s="36">
        <v>21441</v>
      </c>
    </row>
    <row r="82" spans="1:3" x14ac:dyDescent="0.2">
      <c r="A82" s="35"/>
      <c r="B82" s="36" t="s">
        <v>153</v>
      </c>
      <c r="C82" s="36">
        <v>11173</v>
      </c>
    </row>
    <row r="83" spans="1:3" x14ac:dyDescent="0.2">
      <c r="A83" s="35"/>
      <c r="B83" s="36" t="s">
        <v>154</v>
      </c>
      <c r="C83" s="36">
        <v>10880</v>
      </c>
    </row>
    <row r="84" spans="1:3" x14ac:dyDescent="0.2">
      <c r="A84" s="35"/>
      <c r="B84" s="36" t="s">
        <v>155</v>
      </c>
      <c r="C84" s="36">
        <v>10123</v>
      </c>
    </row>
    <row r="85" spans="1:3" x14ac:dyDescent="0.2">
      <c r="A85" s="35"/>
      <c r="B85" s="36" t="s">
        <v>156</v>
      </c>
      <c r="C85" s="36">
        <v>7694</v>
      </c>
    </row>
    <row r="86" spans="1:3" x14ac:dyDescent="0.2">
      <c r="A86" s="35"/>
      <c r="B86" s="36" t="s">
        <v>157</v>
      </c>
      <c r="C86" s="36">
        <v>4756</v>
      </c>
    </row>
    <row r="87" spans="1:3" x14ac:dyDescent="0.2">
      <c r="A87" s="35"/>
      <c r="B87" s="36" t="s">
        <v>158</v>
      </c>
      <c r="C87" s="36">
        <v>4643</v>
      </c>
    </row>
    <row r="88" spans="1:3" x14ac:dyDescent="0.2">
      <c r="A88" s="35"/>
      <c r="B88" s="36" t="s">
        <v>159</v>
      </c>
      <c r="C88" s="36">
        <v>4111</v>
      </c>
    </row>
    <row r="89" spans="1:3" x14ac:dyDescent="0.2">
      <c r="A89" s="35"/>
      <c r="B89" s="36" t="s">
        <v>160</v>
      </c>
      <c r="C89" s="36">
        <v>5958</v>
      </c>
    </row>
    <row r="90" spans="1:3" x14ac:dyDescent="0.2">
      <c r="A90" s="35"/>
      <c r="B90" s="36" t="s">
        <v>161</v>
      </c>
      <c r="C90" s="36">
        <v>6249</v>
      </c>
    </row>
    <row r="91" spans="1:3" x14ac:dyDescent="0.2">
      <c r="A91" s="35"/>
      <c r="B91" s="36" t="s">
        <v>162</v>
      </c>
      <c r="C91" s="36">
        <v>8191</v>
      </c>
    </row>
    <row r="92" spans="1:3" x14ac:dyDescent="0.2">
      <c r="A92" s="34" t="s">
        <v>63</v>
      </c>
      <c r="B92" s="37"/>
      <c r="C92" s="34">
        <v>120383</v>
      </c>
    </row>
    <row r="93" spans="1:3" x14ac:dyDescent="0.2">
      <c r="A93" s="34" t="s">
        <v>7</v>
      </c>
      <c r="B93" s="34" t="s">
        <v>151</v>
      </c>
      <c r="C93" s="34">
        <v>11001</v>
      </c>
    </row>
    <row r="94" spans="1:3" x14ac:dyDescent="0.2">
      <c r="A94" s="35"/>
      <c r="B94" s="36" t="s">
        <v>152</v>
      </c>
      <c r="C94" s="36">
        <v>11858</v>
      </c>
    </row>
    <row r="95" spans="1:3" x14ac:dyDescent="0.2">
      <c r="A95" s="35"/>
      <c r="B95" s="36" t="s">
        <v>153</v>
      </c>
      <c r="C95" s="36">
        <v>7985</v>
      </c>
    </row>
    <row r="96" spans="1:3" x14ac:dyDescent="0.2">
      <c r="A96" s="35"/>
      <c r="B96" s="36" t="s">
        <v>154</v>
      </c>
      <c r="C96" s="36">
        <v>5832</v>
      </c>
    </row>
    <row r="97" spans="1:3" x14ac:dyDescent="0.2">
      <c r="A97" s="35"/>
      <c r="B97" s="36" t="s">
        <v>155</v>
      </c>
      <c r="C97" s="36">
        <v>5278</v>
      </c>
    </row>
    <row r="98" spans="1:3" x14ac:dyDescent="0.2">
      <c r="A98" s="35"/>
      <c r="B98" s="36" t="s">
        <v>156</v>
      </c>
      <c r="C98" s="36">
        <v>5431</v>
      </c>
    </row>
    <row r="99" spans="1:3" x14ac:dyDescent="0.2">
      <c r="A99" s="35"/>
      <c r="B99" s="36" t="s">
        <v>157</v>
      </c>
      <c r="C99" s="36">
        <v>5249</v>
      </c>
    </row>
    <row r="100" spans="1:3" x14ac:dyDescent="0.2">
      <c r="A100" s="35"/>
      <c r="B100" s="36" t="s">
        <v>158</v>
      </c>
      <c r="C100" s="36">
        <v>5544</v>
      </c>
    </row>
    <row r="101" spans="1:3" x14ac:dyDescent="0.2">
      <c r="A101" s="35"/>
      <c r="B101" s="36" t="s">
        <v>159</v>
      </c>
      <c r="C101" s="36">
        <v>4275</v>
      </c>
    </row>
    <row r="102" spans="1:3" x14ac:dyDescent="0.2">
      <c r="A102" s="35"/>
      <c r="B102" s="36" t="s">
        <v>160</v>
      </c>
      <c r="C102" s="36">
        <v>4285</v>
      </c>
    </row>
    <row r="103" spans="1:3" x14ac:dyDescent="0.2">
      <c r="A103" s="35"/>
      <c r="B103" s="36" t="s">
        <v>161</v>
      </c>
      <c r="C103" s="36">
        <v>3541</v>
      </c>
    </row>
    <row r="104" spans="1:3" x14ac:dyDescent="0.2">
      <c r="A104" s="35"/>
      <c r="B104" s="36" t="s">
        <v>162</v>
      </c>
      <c r="C104" s="36">
        <v>3284</v>
      </c>
    </row>
    <row r="105" spans="1:3" x14ac:dyDescent="0.2">
      <c r="A105" s="34" t="s">
        <v>64</v>
      </c>
      <c r="B105" s="37"/>
      <c r="C105" s="34">
        <v>73563</v>
      </c>
    </row>
    <row r="106" spans="1:3" x14ac:dyDescent="0.2">
      <c r="A106" s="34" t="s">
        <v>8</v>
      </c>
      <c r="B106" s="34" t="s">
        <v>151</v>
      </c>
      <c r="C106" s="34">
        <v>27146</v>
      </c>
    </row>
    <row r="107" spans="1:3" x14ac:dyDescent="0.2">
      <c r="A107" s="35"/>
      <c r="B107" s="36" t="s">
        <v>152</v>
      </c>
      <c r="C107" s="36">
        <v>34991</v>
      </c>
    </row>
    <row r="108" spans="1:3" x14ac:dyDescent="0.2">
      <c r="A108" s="35"/>
      <c r="B108" s="36" t="s">
        <v>153</v>
      </c>
      <c r="C108" s="36">
        <v>20838</v>
      </c>
    </row>
    <row r="109" spans="1:3" x14ac:dyDescent="0.2">
      <c r="A109" s="35"/>
      <c r="B109" s="36" t="s">
        <v>154</v>
      </c>
      <c r="C109" s="36">
        <v>16828</v>
      </c>
    </row>
    <row r="110" spans="1:3" x14ac:dyDescent="0.2">
      <c r="A110" s="35"/>
      <c r="B110" s="36" t="s">
        <v>155</v>
      </c>
      <c r="C110" s="36">
        <v>12292</v>
      </c>
    </row>
    <row r="111" spans="1:3" x14ac:dyDescent="0.2">
      <c r="A111" s="35"/>
      <c r="B111" s="36" t="s">
        <v>156</v>
      </c>
      <c r="C111" s="36">
        <v>8265</v>
      </c>
    </row>
    <row r="112" spans="1:3" x14ac:dyDescent="0.2">
      <c r="A112" s="35"/>
      <c r="B112" s="36" t="s">
        <v>157</v>
      </c>
      <c r="C112" s="36">
        <v>4488</v>
      </c>
    </row>
    <row r="113" spans="1:3" x14ac:dyDescent="0.2">
      <c r="A113" s="35"/>
      <c r="B113" s="36" t="s">
        <v>158</v>
      </c>
      <c r="C113" s="36">
        <v>3219</v>
      </c>
    </row>
    <row r="114" spans="1:3" x14ac:dyDescent="0.2">
      <c r="A114" s="35"/>
      <c r="B114" s="36" t="s">
        <v>159</v>
      </c>
      <c r="C114" s="36">
        <v>3126</v>
      </c>
    </row>
    <row r="115" spans="1:3" x14ac:dyDescent="0.2">
      <c r="A115" s="35"/>
      <c r="B115" s="36" t="s">
        <v>160</v>
      </c>
      <c r="C115" s="36">
        <v>4360</v>
      </c>
    </row>
    <row r="116" spans="1:3" x14ac:dyDescent="0.2">
      <c r="A116" s="35"/>
      <c r="B116" s="36" t="s">
        <v>161</v>
      </c>
      <c r="C116" s="36">
        <v>7603</v>
      </c>
    </row>
    <row r="117" spans="1:3" x14ac:dyDescent="0.2">
      <c r="A117" s="35"/>
      <c r="B117" s="36" t="s">
        <v>162</v>
      </c>
      <c r="C117" s="36">
        <v>8213</v>
      </c>
    </row>
    <row r="118" spans="1:3" x14ac:dyDescent="0.2">
      <c r="A118" s="34" t="s">
        <v>65</v>
      </c>
      <c r="B118" s="37"/>
      <c r="C118" s="34">
        <v>151369</v>
      </c>
    </row>
    <row r="119" spans="1:3" x14ac:dyDescent="0.2">
      <c r="A119" s="34" t="s">
        <v>9</v>
      </c>
      <c r="B119" s="34" t="s">
        <v>151</v>
      </c>
      <c r="C119" s="34">
        <v>343</v>
      </c>
    </row>
    <row r="120" spans="1:3" x14ac:dyDescent="0.2">
      <c r="A120" s="35"/>
      <c r="B120" s="36" t="s">
        <v>152</v>
      </c>
      <c r="C120" s="36">
        <v>490</v>
      </c>
    </row>
    <row r="121" spans="1:3" x14ac:dyDescent="0.2">
      <c r="A121" s="35"/>
      <c r="B121" s="36" t="s">
        <v>153</v>
      </c>
      <c r="C121" s="36">
        <v>396</v>
      </c>
    </row>
    <row r="122" spans="1:3" x14ac:dyDescent="0.2">
      <c r="A122" s="35"/>
      <c r="B122" s="36" t="s">
        <v>154</v>
      </c>
      <c r="C122" s="36">
        <v>459</v>
      </c>
    </row>
    <row r="123" spans="1:3" x14ac:dyDescent="0.2">
      <c r="A123" s="35"/>
      <c r="B123" s="36" t="s">
        <v>155</v>
      </c>
      <c r="C123" s="36">
        <v>595</v>
      </c>
    </row>
    <row r="124" spans="1:3" x14ac:dyDescent="0.2">
      <c r="A124" s="35"/>
      <c r="B124" s="36" t="s">
        <v>156</v>
      </c>
      <c r="C124" s="36">
        <v>497</v>
      </c>
    </row>
    <row r="125" spans="1:3" x14ac:dyDescent="0.2">
      <c r="A125" s="35"/>
      <c r="B125" s="36" t="s">
        <v>157</v>
      </c>
      <c r="C125" s="36">
        <v>281</v>
      </c>
    </row>
    <row r="126" spans="1:3" x14ac:dyDescent="0.2">
      <c r="A126" s="35"/>
      <c r="B126" s="36" t="s">
        <v>158</v>
      </c>
      <c r="C126" s="36">
        <v>246</v>
      </c>
    </row>
    <row r="127" spans="1:3" x14ac:dyDescent="0.2">
      <c r="A127" s="35"/>
      <c r="B127" s="36" t="s">
        <v>159</v>
      </c>
      <c r="C127" s="36">
        <v>301</v>
      </c>
    </row>
    <row r="128" spans="1:3" x14ac:dyDescent="0.2">
      <c r="A128" s="35"/>
      <c r="B128" s="36" t="s">
        <v>160</v>
      </c>
      <c r="C128" s="36">
        <v>219</v>
      </c>
    </row>
    <row r="129" spans="1:3" x14ac:dyDescent="0.2">
      <c r="A129" s="35"/>
      <c r="B129" s="36" t="s">
        <v>161</v>
      </c>
      <c r="C129" s="36">
        <v>260</v>
      </c>
    </row>
    <row r="130" spans="1:3" x14ac:dyDescent="0.2">
      <c r="A130" s="35"/>
      <c r="B130" s="36" t="s">
        <v>162</v>
      </c>
      <c r="C130" s="36">
        <v>151</v>
      </c>
    </row>
    <row r="131" spans="1:3" x14ac:dyDescent="0.2">
      <c r="A131" s="34" t="s">
        <v>66</v>
      </c>
      <c r="B131" s="37"/>
      <c r="C131" s="34">
        <v>4238</v>
      </c>
    </row>
    <row r="132" spans="1:3" x14ac:dyDescent="0.2">
      <c r="A132" s="34" t="s">
        <v>10</v>
      </c>
      <c r="B132" s="34" t="s">
        <v>151</v>
      </c>
      <c r="C132" s="34">
        <v>73106</v>
      </c>
    </row>
    <row r="133" spans="1:3" x14ac:dyDescent="0.2">
      <c r="A133" s="35"/>
      <c r="B133" s="36" t="s">
        <v>152</v>
      </c>
      <c r="C133" s="36">
        <v>78914</v>
      </c>
    </row>
    <row r="134" spans="1:3" x14ac:dyDescent="0.2">
      <c r="A134" s="35"/>
      <c r="B134" s="36" t="s">
        <v>153</v>
      </c>
      <c r="C134" s="36">
        <v>45176</v>
      </c>
    </row>
    <row r="135" spans="1:3" x14ac:dyDescent="0.2">
      <c r="A135" s="35"/>
      <c r="B135" s="36" t="s">
        <v>154</v>
      </c>
      <c r="C135" s="36">
        <v>35380</v>
      </c>
    </row>
    <row r="136" spans="1:3" x14ac:dyDescent="0.2">
      <c r="A136" s="35"/>
      <c r="B136" s="36" t="s">
        <v>155</v>
      </c>
      <c r="C136" s="36">
        <v>28441</v>
      </c>
    </row>
    <row r="137" spans="1:3" x14ac:dyDescent="0.2">
      <c r="A137" s="35"/>
      <c r="B137" s="36" t="s">
        <v>156</v>
      </c>
      <c r="C137" s="36">
        <v>25973</v>
      </c>
    </row>
    <row r="138" spans="1:3" x14ac:dyDescent="0.2">
      <c r="A138" s="35"/>
      <c r="B138" s="36" t="s">
        <v>157</v>
      </c>
      <c r="C138" s="36">
        <v>14410</v>
      </c>
    </row>
    <row r="139" spans="1:3" x14ac:dyDescent="0.2">
      <c r="A139" s="35"/>
      <c r="B139" s="36" t="s">
        <v>158</v>
      </c>
      <c r="C139" s="36">
        <v>12358</v>
      </c>
    </row>
    <row r="140" spans="1:3" x14ac:dyDescent="0.2">
      <c r="A140" s="35"/>
      <c r="B140" s="36" t="s">
        <v>159</v>
      </c>
      <c r="C140" s="36">
        <v>12200</v>
      </c>
    </row>
    <row r="141" spans="1:3" x14ac:dyDescent="0.2">
      <c r="A141" s="35"/>
      <c r="B141" s="36" t="s">
        <v>160</v>
      </c>
      <c r="C141" s="36">
        <v>14788</v>
      </c>
    </row>
    <row r="142" spans="1:3" x14ac:dyDescent="0.2">
      <c r="A142" s="35"/>
      <c r="B142" s="36" t="s">
        <v>161</v>
      </c>
      <c r="C142" s="36">
        <v>14425</v>
      </c>
    </row>
    <row r="143" spans="1:3" x14ac:dyDescent="0.2">
      <c r="A143" s="35"/>
      <c r="B143" s="36" t="s">
        <v>162</v>
      </c>
      <c r="C143" s="36">
        <v>21058</v>
      </c>
    </row>
    <row r="144" spans="1:3" x14ac:dyDescent="0.2">
      <c r="A144" s="34" t="s">
        <v>67</v>
      </c>
      <c r="B144" s="37"/>
      <c r="C144" s="34">
        <v>376229</v>
      </c>
    </row>
    <row r="145" spans="1:3" x14ac:dyDescent="0.2">
      <c r="A145" s="34" t="s">
        <v>11</v>
      </c>
      <c r="B145" s="34" t="s">
        <v>151</v>
      </c>
      <c r="C145" s="34">
        <v>14914</v>
      </c>
    </row>
    <row r="146" spans="1:3" x14ac:dyDescent="0.2">
      <c r="A146" s="35"/>
      <c r="B146" s="36" t="s">
        <v>152</v>
      </c>
      <c r="C146" s="36">
        <v>26692</v>
      </c>
    </row>
    <row r="147" spans="1:3" x14ac:dyDescent="0.2">
      <c r="A147" s="35"/>
      <c r="B147" s="36" t="s">
        <v>153</v>
      </c>
      <c r="C147" s="36">
        <v>24777</v>
      </c>
    </row>
    <row r="148" spans="1:3" x14ac:dyDescent="0.2">
      <c r="A148" s="35"/>
      <c r="B148" s="36" t="s">
        <v>154</v>
      </c>
      <c r="C148" s="36">
        <v>23786</v>
      </c>
    </row>
    <row r="149" spans="1:3" x14ac:dyDescent="0.2">
      <c r="A149" s="35"/>
      <c r="B149" s="36" t="s">
        <v>155</v>
      </c>
      <c r="C149" s="36">
        <v>40213</v>
      </c>
    </row>
    <row r="150" spans="1:3" x14ac:dyDescent="0.2">
      <c r="A150" s="35"/>
      <c r="B150" s="36" t="s">
        <v>156</v>
      </c>
      <c r="C150" s="36">
        <v>39922</v>
      </c>
    </row>
    <row r="151" spans="1:3" x14ac:dyDescent="0.2">
      <c r="A151" s="35"/>
      <c r="B151" s="36" t="s">
        <v>157</v>
      </c>
      <c r="C151" s="36">
        <v>25107</v>
      </c>
    </row>
    <row r="152" spans="1:3" x14ac:dyDescent="0.2">
      <c r="A152" s="35"/>
      <c r="B152" s="36" t="s">
        <v>158</v>
      </c>
      <c r="C152" s="36">
        <v>26219</v>
      </c>
    </row>
    <row r="153" spans="1:3" x14ac:dyDescent="0.2">
      <c r="A153" s="35"/>
      <c r="B153" s="36" t="s">
        <v>159</v>
      </c>
      <c r="C153" s="36">
        <v>24202</v>
      </c>
    </row>
    <row r="154" spans="1:3" x14ac:dyDescent="0.2">
      <c r="A154" s="35"/>
      <c r="B154" s="36" t="s">
        <v>160</v>
      </c>
      <c r="C154" s="36">
        <v>22134</v>
      </c>
    </row>
    <row r="155" spans="1:3" x14ac:dyDescent="0.2">
      <c r="A155" s="35"/>
      <c r="B155" s="36" t="s">
        <v>161</v>
      </c>
      <c r="C155" s="36">
        <v>17578</v>
      </c>
    </row>
    <row r="156" spans="1:3" x14ac:dyDescent="0.2">
      <c r="A156" s="35"/>
      <c r="B156" s="36" t="s">
        <v>162</v>
      </c>
      <c r="C156" s="36">
        <v>11344</v>
      </c>
    </row>
    <row r="157" spans="1:3" x14ac:dyDescent="0.2">
      <c r="A157" s="34" t="s">
        <v>68</v>
      </c>
      <c r="B157" s="37"/>
      <c r="C157" s="34">
        <v>296888</v>
      </c>
    </row>
    <row r="158" spans="1:3" x14ac:dyDescent="0.2">
      <c r="A158" s="34" t="s">
        <v>12</v>
      </c>
      <c r="B158" s="34" t="s">
        <v>151</v>
      </c>
      <c r="C158" s="34">
        <v>15471</v>
      </c>
    </row>
    <row r="159" spans="1:3" x14ac:dyDescent="0.2">
      <c r="A159" s="35"/>
      <c r="B159" s="36" t="s">
        <v>152</v>
      </c>
      <c r="C159" s="36">
        <v>18737</v>
      </c>
    </row>
    <row r="160" spans="1:3" x14ac:dyDescent="0.2">
      <c r="A160" s="35"/>
      <c r="B160" s="36" t="s">
        <v>153</v>
      </c>
      <c r="C160" s="36">
        <v>20388</v>
      </c>
    </row>
    <row r="161" spans="1:3" x14ac:dyDescent="0.2">
      <c r="A161" s="35"/>
      <c r="B161" s="36" t="s">
        <v>154</v>
      </c>
      <c r="C161" s="36">
        <v>31372</v>
      </c>
    </row>
    <row r="162" spans="1:3" x14ac:dyDescent="0.2">
      <c r="A162" s="35"/>
      <c r="B162" s="36" t="s">
        <v>155</v>
      </c>
      <c r="C162" s="36">
        <v>48449</v>
      </c>
    </row>
    <row r="163" spans="1:3" x14ac:dyDescent="0.2">
      <c r="A163" s="35"/>
      <c r="B163" s="36" t="s">
        <v>156</v>
      </c>
      <c r="C163" s="36">
        <v>49213</v>
      </c>
    </row>
    <row r="164" spans="1:3" x14ac:dyDescent="0.2">
      <c r="A164" s="35"/>
      <c r="B164" s="36" t="s">
        <v>157</v>
      </c>
      <c r="C164" s="36">
        <v>26345</v>
      </c>
    </row>
    <row r="165" spans="1:3" x14ac:dyDescent="0.2">
      <c r="A165" s="35"/>
      <c r="B165" s="36" t="s">
        <v>158</v>
      </c>
      <c r="C165" s="36">
        <v>29068</v>
      </c>
    </row>
    <row r="166" spans="1:3" x14ac:dyDescent="0.2">
      <c r="A166" s="35"/>
      <c r="B166" s="36" t="s">
        <v>159</v>
      </c>
      <c r="C166" s="36">
        <v>23406</v>
      </c>
    </row>
    <row r="167" spans="1:3" x14ac:dyDescent="0.2">
      <c r="A167" s="35"/>
      <c r="B167" s="36" t="s">
        <v>160</v>
      </c>
      <c r="C167" s="36">
        <v>25853</v>
      </c>
    </row>
    <row r="168" spans="1:3" x14ac:dyDescent="0.2">
      <c r="A168" s="35"/>
      <c r="B168" s="36" t="s">
        <v>161</v>
      </c>
      <c r="C168" s="36">
        <v>18374</v>
      </c>
    </row>
    <row r="169" spans="1:3" x14ac:dyDescent="0.2">
      <c r="A169" s="35"/>
      <c r="B169" s="36" t="s">
        <v>162</v>
      </c>
      <c r="C169" s="36">
        <v>11679</v>
      </c>
    </row>
    <row r="170" spans="1:3" x14ac:dyDescent="0.2">
      <c r="A170" s="34" t="s">
        <v>69</v>
      </c>
      <c r="B170" s="37"/>
      <c r="C170" s="34">
        <v>318355</v>
      </c>
    </row>
    <row r="171" spans="1:3" x14ac:dyDescent="0.2">
      <c r="A171" s="34" t="s">
        <v>13</v>
      </c>
      <c r="B171" s="34" t="s">
        <v>151</v>
      </c>
      <c r="C171" s="34">
        <v>24721</v>
      </c>
    </row>
    <row r="172" spans="1:3" x14ac:dyDescent="0.2">
      <c r="A172" s="35"/>
      <c r="B172" s="36" t="s">
        <v>152</v>
      </c>
      <c r="C172" s="36">
        <v>23467</v>
      </c>
    </row>
    <row r="173" spans="1:3" x14ac:dyDescent="0.2">
      <c r="A173" s="35"/>
      <c r="B173" s="36" t="s">
        <v>153</v>
      </c>
      <c r="C173" s="36">
        <v>15841</v>
      </c>
    </row>
    <row r="174" spans="1:3" x14ac:dyDescent="0.2">
      <c r="A174" s="35"/>
      <c r="B174" s="36" t="s">
        <v>154</v>
      </c>
      <c r="C174" s="36">
        <v>9842</v>
      </c>
    </row>
    <row r="175" spans="1:3" x14ac:dyDescent="0.2">
      <c r="A175" s="35"/>
      <c r="B175" s="36" t="s">
        <v>155</v>
      </c>
      <c r="C175" s="36">
        <v>7734</v>
      </c>
    </row>
    <row r="176" spans="1:3" x14ac:dyDescent="0.2">
      <c r="A176" s="35"/>
      <c r="B176" s="36" t="s">
        <v>156</v>
      </c>
      <c r="C176" s="36">
        <v>5729</v>
      </c>
    </row>
    <row r="177" spans="1:3" x14ac:dyDescent="0.2">
      <c r="A177" s="35"/>
      <c r="B177" s="36" t="s">
        <v>157</v>
      </c>
      <c r="C177" s="36">
        <v>3746</v>
      </c>
    </row>
    <row r="178" spans="1:3" x14ac:dyDescent="0.2">
      <c r="A178" s="35"/>
      <c r="B178" s="36" t="s">
        <v>158</v>
      </c>
      <c r="C178" s="36">
        <v>3543</v>
      </c>
    </row>
    <row r="179" spans="1:3" x14ac:dyDescent="0.2">
      <c r="A179" s="35"/>
      <c r="B179" s="36" t="s">
        <v>159</v>
      </c>
      <c r="C179" s="36">
        <v>3518</v>
      </c>
    </row>
    <row r="180" spans="1:3" x14ac:dyDescent="0.2">
      <c r="A180" s="35"/>
      <c r="B180" s="36" t="s">
        <v>160</v>
      </c>
      <c r="C180" s="36">
        <v>3667</v>
      </c>
    </row>
    <row r="181" spans="1:3" x14ac:dyDescent="0.2">
      <c r="A181" s="35"/>
      <c r="B181" s="36" t="s">
        <v>161</v>
      </c>
      <c r="C181" s="36">
        <v>3993</v>
      </c>
    </row>
    <row r="182" spans="1:3" x14ac:dyDescent="0.2">
      <c r="A182" s="35"/>
      <c r="B182" s="36" t="s">
        <v>162</v>
      </c>
      <c r="C182" s="36">
        <v>7211</v>
      </c>
    </row>
    <row r="183" spans="1:3" x14ac:dyDescent="0.2">
      <c r="A183" s="34" t="s">
        <v>70</v>
      </c>
      <c r="B183" s="37"/>
      <c r="C183" s="34">
        <v>113012</v>
      </c>
    </row>
    <row r="184" spans="1:3" x14ac:dyDescent="0.2">
      <c r="A184" s="34" t="s">
        <v>14</v>
      </c>
      <c r="B184" s="34" t="s">
        <v>151</v>
      </c>
      <c r="C184" s="34">
        <v>19678</v>
      </c>
    </row>
    <row r="185" spans="1:3" x14ac:dyDescent="0.2">
      <c r="A185" s="35"/>
      <c r="B185" s="36" t="s">
        <v>152</v>
      </c>
      <c r="C185" s="36">
        <v>18480</v>
      </c>
    </row>
    <row r="186" spans="1:3" x14ac:dyDescent="0.2">
      <c r="A186" s="35"/>
      <c r="B186" s="36" t="s">
        <v>153</v>
      </c>
      <c r="C186" s="36">
        <v>15304</v>
      </c>
    </row>
    <row r="187" spans="1:3" x14ac:dyDescent="0.2">
      <c r="A187" s="35"/>
      <c r="B187" s="36" t="s">
        <v>154</v>
      </c>
      <c r="C187" s="36">
        <v>12919</v>
      </c>
    </row>
    <row r="188" spans="1:3" x14ac:dyDescent="0.2">
      <c r="A188" s="35"/>
      <c r="B188" s="36" t="s">
        <v>155</v>
      </c>
      <c r="C188" s="36">
        <v>15678</v>
      </c>
    </row>
    <row r="189" spans="1:3" x14ac:dyDescent="0.2">
      <c r="A189" s="35"/>
      <c r="B189" s="36" t="s">
        <v>156</v>
      </c>
      <c r="C189" s="36">
        <v>10465</v>
      </c>
    </row>
    <row r="190" spans="1:3" x14ac:dyDescent="0.2">
      <c r="A190" s="35"/>
      <c r="B190" s="36" t="s">
        <v>157</v>
      </c>
      <c r="C190" s="36">
        <v>8447</v>
      </c>
    </row>
    <row r="191" spans="1:3" x14ac:dyDescent="0.2">
      <c r="A191" s="35"/>
      <c r="B191" s="36" t="s">
        <v>158</v>
      </c>
      <c r="C191" s="36">
        <v>7750</v>
      </c>
    </row>
    <row r="192" spans="1:3" x14ac:dyDescent="0.2">
      <c r="A192" s="35"/>
      <c r="B192" s="36" t="s">
        <v>159</v>
      </c>
      <c r="C192" s="36">
        <v>6702</v>
      </c>
    </row>
    <row r="193" spans="1:3" x14ac:dyDescent="0.2">
      <c r="A193" s="35"/>
      <c r="B193" s="36" t="s">
        <v>160</v>
      </c>
      <c r="C193" s="36">
        <v>7489</v>
      </c>
    </row>
    <row r="194" spans="1:3" x14ac:dyDescent="0.2">
      <c r="A194" s="35"/>
      <c r="B194" s="36" t="s">
        <v>161</v>
      </c>
      <c r="C194" s="36">
        <v>10529</v>
      </c>
    </row>
    <row r="195" spans="1:3" x14ac:dyDescent="0.2">
      <c r="A195" s="35"/>
      <c r="B195" s="36" t="s">
        <v>162</v>
      </c>
      <c r="C195" s="36">
        <v>17030</v>
      </c>
    </row>
    <row r="196" spans="1:3" x14ac:dyDescent="0.2">
      <c r="A196" s="34" t="s">
        <v>71</v>
      </c>
      <c r="B196" s="37"/>
      <c r="C196" s="34">
        <v>150471</v>
      </c>
    </row>
    <row r="197" spans="1:3" x14ac:dyDescent="0.2">
      <c r="A197" s="34" t="s">
        <v>15</v>
      </c>
      <c r="B197" s="34" t="s">
        <v>151</v>
      </c>
      <c r="C197" s="34">
        <v>7711</v>
      </c>
    </row>
    <row r="198" spans="1:3" x14ac:dyDescent="0.2">
      <c r="A198" s="35"/>
      <c r="B198" s="36" t="s">
        <v>152</v>
      </c>
      <c r="C198" s="36">
        <v>8927</v>
      </c>
    </row>
    <row r="199" spans="1:3" x14ac:dyDescent="0.2">
      <c r="A199" s="35"/>
      <c r="B199" s="36" t="s">
        <v>153</v>
      </c>
      <c r="C199" s="36">
        <v>6931</v>
      </c>
    </row>
    <row r="200" spans="1:3" x14ac:dyDescent="0.2">
      <c r="A200" s="35"/>
      <c r="B200" s="36" t="s">
        <v>154</v>
      </c>
      <c r="C200" s="36">
        <v>6566</v>
      </c>
    </row>
    <row r="201" spans="1:3" x14ac:dyDescent="0.2">
      <c r="A201" s="35"/>
      <c r="B201" s="36" t="s">
        <v>155</v>
      </c>
      <c r="C201" s="36">
        <v>4380</v>
      </c>
    </row>
    <row r="202" spans="1:3" x14ac:dyDescent="0.2">
      <c r="A202" s="35"/>
      <c r="B202" s="36" t="s">
        <v>156</v>
      </c>
      <c r="C202" s="36">
        <v>3631</v>
      </c>
    </row>
    <row r="203" spans="1:3" x14ac:dyDescent="0.2">
      <c r="A203" s="35"/>
      <c r="B203" s="36" t="s">
        <v>157</v>
      </c>
      <c r="C203" s="36">
        <v>2734</v>
      </c>
    </row>
    <row r="204" spans="1:3" x14ac:dyDescent="0.2">
      <c r="A204" s="35"/>
      <c r="B204" s="36" t="s">
        <v>158</v>
      </c>
      <c r="C204" s="36">
        <v>3004</v>
      </c>
    </row>
    <row r="205" spans="1:3" x14ac:dyDescent="0.2">
      <c r="A205" s="35"/>
      <c r="B205" s="36" t="s">
        <v>159</v>
      </c>
      <c r="C205" s="36">
        <v>2251</v>
      </c>
    </row>
    <row r="206" spans="1:3" x14ac:dyDescent="0.2">
      <c r="A206" s="35"/>
      <c r="B206" s="36" t="s">
        <v>160</v>
      </c>
      <c r="C206" s="36">
        <v>2095</v>
      </c>
    </row>
    <row r="207" spans="1:3" x14ac:dyDescent="0.2">
      <c r="A207" s="35"/>
      <c r="B207" s="36" t="s">
        <v>161</v>
      </c>
      <c r="C207" s="36">
        <v>2280</v>
      </c>
    </row>
    <row r="208" spans="1:3" x14ac:dyDescent="0.2">
      <c r="A208" s="35"/>
      <c r="B208" s="36" t="s">
        <v>162</v>
      </c>
      <c r="C208" s="36">
        <v>3968</v>
      </c>
    </row>
    <row r="209" spans="1:3" x14ac:dyDescent="0.2">
      <c r="A209" s="34" t="s">
        <v>72</v>
      </c>
      <c r="B209" s="37"/>
      <c r="C209" s="34">
        <v>54478</v>
      </c>
    </row>
    <row r="210" spans="1:3" x14ac:dyDescent="0.2">
      <c r="A210" s="34" t="s">
        <v>16</v>
      </c>
      <c r="B210" s="34" t="s">
        <v>151</v>
      </c>
      <c r="C210" s="34">
        <v>14738</v>
      </c>
    </row>
    <row r="211" spans="1:3" x14ac:dyDescent="0.2">
      <c r="A211" s="35"/>
      <c r="B211" s="36" t="s">
        <v>152</v>
      </c>
      <c r="C211" s="36">
        <v>15971</v>
      </c>
    </row>
    <row r="212" spans="1:3" x14ac:dyDescent="0.2">
      <c r="A212" s="35"/>
      <c r="B212" s="36" t="s">
        <v>153</v>
      </c>
      <c r="C212" s="36">
        <v>10975</v>
      </c>
    </row>
    <row r="213" spans="1:3" x14ac:dyDescent="0.2">
      <c r="A213" s="35"/>
      <c r="B213" s="36" t="s">
        <v>154</v>
      </c>
      <c r="C213" s="36">
        <v>10384</v>
      </c>
    </row>
    <row r="214" spans="1:3" x14ac:dyDescent="0.2">
      <c r="A214" s="35"/>
      <c r="B214" s="36" t="s">
        <v>155</v>
      </c>
      <c r="C214" s="36">
        <v>8238</v>
      </c>
    </row>
    <row r="215" spans="1:3" x14ac:dyDescent="0.2">
      <c r="A215" s="35"/>
      <c r="B215" s="36" t="s">
        <v>156</v>
      </c>
      <c r="C215" s="36">
        <v>5841</v>
      </c>
    </row>
    <row r="216" spans="1:3" x14ac:dyDescent="0.2">
      <c r="A216" s="35"/>
      <c r="B216" s="36" t="s">
        <v>157</v>
      </c>
      <c r="C216" s="36">
        <v>3500</v>
      </c>
    </row>
    <row r="217" spans="1:3" x14ac:dyDescent="0.2">
      <c r="A217" s="35"/>
      <c r="B217" s="36" t="s">
        <v>158</v>
      </c>
      <c r="C217" s="36">
        <v>2635</v>
      </c>
    </row>
    <row r="218" spans="1:3" x14ac:dyDescent="0.2">
      <c r="A218" s="35"/>
      <c r="B218" s="36" t="s">
        <v>159</v>
      </c>
      <c r="C218" s="36">
        <v>2302</v>
      </c>
    </row>
    <row r="219" spans="1:3" x14ac:dyDescent="0.2">
      <c r="A219" s="35"/>
      <c r="B219" s="36" t="s">
        <v>160</v>
      </c>
      <c r="C219" s="36">
        <v>2496</v>
      </c>
    </row>
    <row r="220" spans="1:3" x14ac:dyDescent="0.2">
      <c r="A220" s="35"/>
      <c r="B220" s="36" t="s">
        <v>161</v>
      </c>
      <c r="C220" s="36">
        <v>2496</v>
      </c>
    </row>
    <row r="221" spans="1:3" x14ac:dyDescent="0.2">
      <c r="A221" s="35"/>
      <c r="B221" s="36" t="s">
        <v>162</v>
      </c>
      <c r="C221" s="36">
        <v>2936</v>
      </c>
    </row>
    <row r="222" spans="1:3" x14ac:dyDescent="0.2">
      <c r="A222" s="34" t="s">
        <v>73</v>
      </c>
      <c r="B222" s="37"/>
      <c r="C222" s="34">
        <v>82512</v>
      </c>
    </row>
    <row r="223" spans="1:3" x14ac:dyDescent="0.2">
      <c r="A223" s="34" t="s">
        <v>17</v>
      </c>
      <c r="B223" s="34" t="s">
        <v>151</v>
      </c>
      <c r="C223" s="34">
        <v>17023</v>
      </c>
    </row>
    <row r="224" spans="1:3" x14ac:dyDescent="0.2">
      <c r="A224" s="35"/>
      <c r="B224" s="36" t="s">
        <v>152</v>
      </c>
      <c r="C224" s="36">
        <v>22997</v>
      </c>
    </row>
    <row r="225" spans="1:3" x14ac:dyDescent="0.2">
      <c r="A225" s="35"/>
      <c r="B225" s="36" t="s">
        <v>153</v>
      </c>
      <c r="C225" s="36">
        <v>15269</v>
      </c>
    </row>
    <row r="226" spans="1:3" x14ac:dyDescent="0.2">
      <c r="A226" s="35"/>
      <c r="B226" s="36" t="s">
        <v>154</v>
      </c>
      <c r="C226" s="36">
        <v>15110</v>
      </c>
    </row>
    <row r="227" spans="1:3" x14ac:dyDescent="0.2">
      <c r="A227" s="35"/>
      <c r="B227" s="36" t="s">
        <v>155</v>
      </c>
      <c r="C227" s="36">
        <v>14620</v>
      </c>
    </row>
    <row r="228" spans="1:3" x14ac:dyDescent="0.2">
      <c r="A228" s="35"/>
      <c r="B228" s="36" t="s">
        <v>156</v>
      </c>
      <c r="C228" s="36">
        <v>11158</v>
      </c>
    </row>
    <row r="229" spans="1:3" x14ac:dyDescent="0.2">
      <c r="A229" s="35"/>
      <c r="B229" s="36" t="s">
        <v>157</v>
      </c>
      <c r="C229" s="36">
        <v>7976</v>
      </c>
    </row>
    <row r="230" spans="1:3" x14ac:dyDescent="0.2">
      <c r="A230" s="35"/>
      <c r="B230" s="36" t="s">
        <v>158</v>
      </c>
      <c r="C230" s="36">
        <v>6413</v>
      </c>
    </row>
    <row r="231" spans="1:3" x14ac:dyDescent="0.2">
      <c r="A231" s="35"/>
      <c r="B231" s="36" t="s">
        <v>159</v>
      </c>
      <c r="C231" s="36">
        <v>5339</v>
      </c>
    </row>
    <row r="232" spans="1:3" x14ac:dyDescent="0.2">
      <c r="A232" s="35"/>
      <c r="B232" s="36" t="s">
        <v>160</v>
      </c>
      <c r="C232" s="36">
        <v>5532</v>
      </c>
    </row>
    <row r="233" spans="1:3" x14ac:dyDescent="0.2">
      <c r="A233" s="35"/>
      <c r="B233" s="36" t="s">
        <v>161</v>
      </c>
      <c r="C233" s="36">
        <v>6349</v>
      </c>
    </row>
    <row r="234" spans="1:3" x14ac:dyDescent="0.2">
      <c r="A234" s="35"/>
      <c r="B234" s="36" t="s">
        <v>162</v>
      </c>
      <c r="C234" s="36">
        <v>8695</v>
      </c>
    </row>
    <row r="235" spans="1:3" x14ac:dyDescent="0.2">
      <c r="A235" s="34" t="s">
        <v>74</v>
      </c>
      <c r="B235" s="37"/>
      <c r="C235" s="34">
        <v>136481</v>
      </c>
    </row>
    <row r="236" spans="1:3" x14ac:dyDescent="0.2">
      <c r="A236" s="34" t="s">
        <v>18</v>
      </c>
      <c r="B236" s="34" t="s">
        <v>151</v>
      </c>
      <c r="C236" s="34">
        <v>6658</v>
      </c>
    </row>
    <row r="237" spans="1:3" x14ac:dyDescent="0.2">
      <c r="A237" s="35"/>
      <c r="B237" s="36" t="s">
        <v>152</v>
      </c>
      <c r="C237" s="36">
        <v>8105</v>
      </c>
    </row>
    <row r="238" spans="1:3" x14ac:dyDescent="0.2">
      <c r="A238" s="35"/>
      <c r="B238" s="36" t="s">
        <v>153</v>
      </c>
      <c r="C238" s="36">
        <v>4259</v>
      </c>
    </row>
    <row r="239" spans="1:3" x14ac:dyDescent="0.2">
      <c r="A239" s="35"/>
      <c r="B239" s="36" t="s">
        <v>154</v>
      </c>
      <c r="C239" s="36">
        <v>5817</v>
      </c>
    </row>
    <row r="240" spans="1:3" x14ac:dyDescent="0.2">
      <c r="A240" s="35"/>
      <c r="B240" s="36" t="s">
        <v>155</v>
      </c>
      <c r="C240" s="36">
        <v>7529</v>
      </c>
    </row>
    <row r="241" spans="1:3" x14ac:dyDescent="0.2">
      <c r="A241" s="35"/>
      <c r="B241" s="36" t="s">
        <v>156</v>
      </c>
      <c r="C241" s="36">
        <v>4836</v>
      </c>
    </row>
    <row r="242" spans="1:3" x14ac:dyDescent="0.2">
      <c r="A242" s="35"/>
      <c r="B242" s="36" t="s">
        <v>157</v>
      </c>
      <c r="C242" s="36">
        <v>3209</v>
      </c>
    </row>
    <row r="243" spans="1:3" x14ac:dyDescent="0.2">
      <c r="A243" s="35"/>
      <c r="B243" s="36" t="s">
        <v>158</v>
      </c>
      <c r="C243" s="36">
        <v>3031</v>
      </c>
    </row>
    <row r="244" spans="1:3" x14ac:dyDescent="0.2">
      <c r="A244" s="35"/>
      <c r="B244" s="36" t="s">
        <v>159</v>
      </c>
      <c r="C244" s="36">
        <v>3491</v>
      </c>
    </row>
    <row r="245" spans="1:3" x14ac:dyDescent="0.2">
      <c r="A245" s="35"/>
      <c r="B245" s="36" t="s">
        <v>160</v>
      </c>
      <c r="C245" s="36">
        <v>4872</v>
      </c>
    </row>
    <row r="246" spans="1:3" x14ac:dyDescent="0.2">
      <c r="A246" s="35"/>
      <c r="B246" s="36" t="s">
        <v>161</v>
      </c>
      <c r="C246" s="36">
        <v>4041</v>
      </c>
    </row>
    <row r="247" spans="1:3" x14ac:dyDescent="0.2">
      <c r="A247" s="35"/>
      <c r="B247" s="36" t="s">
        <v>162</v>
      </c>
      <c r="C247" s="36">
        <v>9127</v>
      </c>
    </row>
    <row r="248" spans="1:3" x14ac:dyDescent="0.2">
      <c r="A248" s="34" t="s">
        <v>75</v>
      </c>
      <c r="B248" s="37"/>
      <c r="C248" s="34">
        <v>64975</v>
      </c>
    </row>
    <row r="249" spans="1:3" x14ac:dyDescent="0.2">
      <c r="A249" s="34" t="s">
        <v>19</v>
      </c>
      <c r="B249" s="34" t="s">
        <v>151</v>
      </c>
      <c r="C249" s="34">
        <v>30807</v>
      </c>
    </row>
    <row r="250" spans="1:3" x14ac:dyDescent="0.2">
      <c r="A250" s="35"/>
      <c r="B250" s="36" t="s">
        <v>152</v>
      </c>
      <c r="C250" s="36">
        <v>21880</v>
      </c>
    </row>
    <row r="251" spans="1:3" x14ac:dyDescent="0.2">
      <c r="A251" s="35"/>
      <c r="B251" s="36" t="s">
        <v>153</v>
      </c>
      <c r="C251" s="36">
        <v>25854</v>
      </c>
    </row>
    <row r="252" spans="1:3" x14ac:dyDescent="0.2">
      <c r="A252" s="35"/>
      <c r="B252" s="36" t="s">
        <v>154</v>
      </c>
      <c r="C252" s="36">
        <v>28319</v>
      </c>
    </row>
    <row r="253" spans="1:3" x14ac:dyDescent="0.2">
      <c r="A253" s="35"/>
      <c r="B253" s="36" t="s">
        <v>155</v>
      </c>
      <c r="C253" s="36">
        <v>25970</v>
      </c>
    </row>
    <row r="254" spans="1:3" x14ac:dyDescent="0.2">
      <c r="A254" s="35"/>
      <c r="B254" s="36" t="s">
        <v>156</v>
      </c>
      <c r="C254" s="36">
        <v>24580</v>
      </c>
    </row>
    <row r="255" spans="1:3" x14ac:dyDescent="0.2">
      <c r="A255" s="35"/>
      <c r="B255" s="36" t="s">
        <v>157</v>
      </c>
      <c r="C255" s="36">
        <v>18685</v>
      </c>
    </row>
    <row r="256" spans="1:3" x14ac:dyDescent="0.2">
      <c r="A256" s="35"/>
      <c r="B256" s="36" t="s">
        <v>158</v>
      </c>
      <c r="C256" s="36">
        <v>19360</v>
      </c>
    </row>
    <row r="257" spans="1:3" x14ac:dyDescent="0.2">
      <c r="A257" s="35"/>
      <c r="B257" s="36" t="s">
        <v>159</v>
      </c>
      <c r="C257" s="36">
        <v>20236</v>
      </c>
    </row>
    <row r="258" spans="1:3" x14ac:dyDescent="0.2">
      <c r="A258" s="35"/>
      <c r="B258" s="36" t="s">
        <v>160</v>
      </c>
      <c r="C258" s="36">
        <v>21739</v>
      </c>
    </row>
    <row r="259" spans="1:3" x14ac:dyDescent="0.2">
      <c r="A259" s="35"/>
      <c r="B259" s="36" t="s">
        <v>161</v>
      </c>
      <c r="C259" s="36">
        <v>18492</v>
      </c>
    </row>
    <row r="260" spans="1:3" x14ac:dyDescent="0.2">
      <c r="A260" s="35"/>
      <c r="B260" s="36" t="s">
        <v>162</v>
      </c>
      <c r="C260" s="36">
        <v>16598</v>
      </c>
    </row>
    <row r="261" spans="1:3" x14ac:dyDescent="0.2">
      <c r="A261" s="34" t="s">
        <v>76</v>
      </c>
      <c r="B261" s="37"/>
      <c r="C261" s="34">
        <v>272520</v>
      </c>
    </row>
    <row r="262" spans="1:3" x14ac:dyDescent="0.2">
      <c r="A262" s="34" t="s">
        <v>20</v>
      </c>
      <c r="B262" s="34" t="s">
        <v>151</v>
      </c>
      <c r="C262" s="34">
        <v>28111</v>
      </c>
    </row>
    <row r="263" spans="1:3" x14ac:dyDescent="0.2">
      <c r="A263" s="35"/>
      <c r="B263" s="36" t="s">
        <v>152</v>
      </c>
      <c r="C263" s="36">
        <v>36706</v>
      </c>
    </row>
    <row r="264" spans="1:3" x14ac:dyDescent="0.2">
      <c r="A264" s="35"/>
      <c r="B264" s="36" t="s">
        <v>153</v>
      </c>
      <c r="C264" s="36">
        <v>32019</v>
      </c>
    </row>
    <row r="265" spans="1:3" x14ac:dyDescent="0.2">
      <c r="A265" s="35"/>
      <c r="B265" s="36" t="s">
        <v>154</v>
      </c>
      <c r="C265" s="36">
        <v>33049</v>
      </c>
    </row>
    <row r="266" spans="1:3" x14ac:dyDescent="0.2">
      <c r="A266" s="35"/>
      <c r="B266" s="36" t="s">
        <v>155</v>
      </c>
      <c r="C266" s="36">
        <v>30317</v>
      </c>
    </row>
    <row r="267" spans="1:3" x14ac:dyDescent="0.2">
      <c r="A267" s="35"/>
      <c r="B267" s="36" t="s">
        <v>156</v>
      </c>
      <c r="C267" s="36">
        <v>29993</v>
      </c>
    </row>
    <row r="268" spans="1:3" x14ac:dyDescent="0.2">
      <c r="A268" s="35"/>
      <c r="B268" s="36" t="s">
        <v>157</v>
      </c>
      <c r="C268" s="36">
        <v>25268</v>
      </c>
    </row>
    <row r="269" spans="1:3" x14ac:dyDescent="0.2">
      <c r="A269" s="35"/>
      <c r="B269" s="36" t="s">
        <v>158</v>
      </c>
      <c r="C269" s="36">
        <v>29614</v>
      </c>
    </row>
    <row r="270" spans="1:3" x14ac:dyDescent="0.2">
      <c r="A270" s="35"/>
      <c r="B270" s="36" t="s">
        <v>159</v>
      </c>
      <c r="C270" s="36">
        <v>26027</v>
      </c>
    </row>
    <row r="271" spans="1:3" x14ac:dyDescent="0.2">
      <c r="A271" s="35"/>
      <c r="B271" s="36" t="s">
        <v>160</v>
      </c>
      <c r="C271" s="36">
        <v>22219</v>
      </c>
    </row>
    <row r="272" spans="1:3" x14ac:dyDescent="0.2">
      <c r="A272" s="35"/>
      <c r="B272" s="36" t="s">
        <v>161</v>
      </c>
      <c r="C272" s="36">
        <v>16817</v>
      </c>
    </row>
    <row r="273" spans="1:3" x14ac:dyDescent="0.2">
      <c r="A273" s="35"/>
      <c r="B273" s="36" t="s">
        <v>162</v>
      </c>
      <c r="C273" s="36">
        <v>9011</v>
      </c>
    </row>
    <row r="274" spans="1:3" x14ac:dyDescent="0.2">
      <c r="A274" s="34" t="s">
        <v>77</v>
      </c>
      <c r="B274" s="37"/>
      <c r="C274" s="34">
        <v>319151</v>
      </c>
    </row>
    <row r="275" spans="1:3" x14ac:dyDescent="0.2">
      <c r="A275" s="34" t="s">
        <v>21</v>
      </c>
      <c r="B275" s="34" t="s">
        <v>151</v>
      </c>
      <c r="C275" s="34">
        <v>3226</v>
      </c>
    </row>
    <row r="276" spans="1:3" x14ac:dyDescent="0.2">
      <c r="A276" s="35"/>
      <c r="B276" s="36" t="s">
        <v>152</v>
      </c>
      <c r="C276" s="36">
        <v>3336</v>
      </c>
    </row>
    <row r="277" spans="1:3" x14ac:dyDescent="0.2">
      <c r="A277" s="35"/>
      <c r="B277" s="36" t="s">
        <v>153</v>
      </c>
      <c r="C277" s="36">
        <v>12644</v>
      </c>
    </row>
    <row r="278" spans="1:3" x14ac:dyDescent="0.2">
      <c r="A278" s="35"/>
      <c r="B278" s="36" t="s">
        <v>154</v>
      </c>
      <c r="C278" s="36">
        <v>16087</v>
      </c>
    </row>
    <row r="279" spans="1:3" x14ac:dyDescent="0.2">
      <c r="A279" s="35"/>
      <c r="B279" s="36" t="s">
        <v>155</v>
      </c>
      <c r="C279" s="36">
        <v>25357</v>
      </c>
    </row>
    <row r="280" spans="1:3" x14ac:dyDescent="0.2">
      <c r="A280" s="35"/>
      <c r="B280" s="36" t="s">
        <v>156</v>
      </c>
      <c r="C280" s="36">
        <v>15848</v>
      </c>
    </row>
    <row r="281" spans="1:3" x14ac:dyDescent="0.2">
      <c r="A281" s="35"/>
      <c r="B281" s="36" t="s">
        <v>157</v>
      </c>
      <c r="C281" s="36">
        <v>9583</v>
      </c>
    </row>
    <row r="282" spans="1:3" x14ac:dyDescent="0.2">
      <c r="A282" s="35"/>
      <c r="B282" s="36" t="s">
        <v>158</v>
      </c>
      <c r="C282" s="36">
        <v>8357</v>
      </c>
    </row>
    <row r="283" spans="1:3" x14ac:dyDescent="0.2">
      <c r="A283" s="35"/>
      <c r="B283" s="36" t="s">
        <v>159</v>
      </c>
      <c r="C283" s="36">
        <v>7261</v>
      </c>
    </row>
    <row r="284" spans="1:3" x14ac:dyDescent="0.2">
      <c r="A284" s="35"/>
      <c r="B284" s="36" t="s">
        <v>160</v>
      </c>
      <c r="C284" s="36">
        <v>7268</v>
      </c>
    </row>
    <row r="285" spans="1:3" x14ac:dyDescent="0.2">
      <c r="A285" s="35"/>
      <c r="B285" s="36" t="s">
        <v>161</v>
      </c>
      <c r="C285" s="36">
        <v>4293</v>
      </c>
    </row>
    <row r="286" spans="1:3" x14ac:dyDescent="0.2">
      <c r="A286" s="35"/>
      <c r="B286" s="36" t="s">
        <v>162</v>
      </c>
      <c r="C286" s="36">
        <v>5734</v>
      </c>
    </row>
    <row r="287" spans="1:3" x14ac:dyDescent="0.2">
      <c r="A287" s="34" t="s">
        <v>78</v>
      </c>
      <c r="B287" s="37"/>
      <c r="C287" s="34">
        <v>118994</v>
      </c>
    </row>
    <row r="288" spans="1:3" x14ac:dyDescent="0.2">
      <c r="A288" s="34" t="s">
        <v>22</v>
      </c>
      <c r="B288" s="34" t="s">
        <v>151</v>
      </c>
      <c r="C288" s="34">
        <v>14700</v>
      </c>
    </row>
    <row r="289" spans="1:3" x14ac:dyDescent="0.2">
      <c r="A289" s="35"/>
      <c r="B289" s="36" t="s">
        <v>152</v>
      </c>
      <c r="C289" s="36">
        <v>15043</v>
      </c>
    </row>
    <row r="290" spans="1:3" x14ac:dyDescent="0.2">
      <c r="A290" s="35"/>
      <c r="B290" s="36" t="s">
        <v>153</v>
      </c>
      <c r="C290" s="36">
        <v>11252</v>
      </c>
    </row>
    <row r="291" spans="1:3" x14ac:dyDescent="0.2">
      <c r="A291" s="35"/>
      <c r="B291" s="36" t="s">
        <v>154</v>
      </c>
      <c r="C291" s="36">
        <v>23291</v>
      </c>
    </row>
    <row r="292" spans="1:3" x14ac:dyDescent="0.2">
      <c r="A292" s="35"/>
      <c r="B292" s="36" t="s">
        <v>155</v>
      </c>
      <c r="C292" s="36">
        <v>32235</v>
      </c>
    </row>
    <row r="293" spans="1:3" x14ac:dyDescent="0.2">
      <c r="A293" s="35"/>
      <c r="B293" s="36" t="s">
        <v>156</v>
      </c>
      <c r="C293" s="36">
        <v>24036</v>
      </c>
    </row>
    <row r="294" spans="1:3" x14ac:dyDescent="0.2">
      <c r="A294" s="35"/>
      <c r="B294" s="36" t="s">
        <v>157</v>
      </c>
      <c r="C294" s="36">
        <v>12748</v>
      </c>
    </row>
    <row r="295" spans="1:3" x14ac:dyDescent="0.2">
      <c r="A295" s="35"/>
      <c r="B295" s="36" t="s">
        <v>158</v>
      </c>
      <c r="C295" s="36">
        <v>12474</v>
      </c>
    </row>
    <row r="296" spans="1:3" x14ac:dyDescent="0.2">
      <c r="A296" s="35"/>
      <c r="B296" s="36" t="s">
        <v>159</v>
      </c>
      <c r="C296" s="36">
        <v>10987</v>
      </c>
    </row>
    <row r="297" spans="1:3" x14ac:dyDescent="0.2">
      <c r="A297" s="35"/>
      <c r="B297" s="36" t="s">
        <v>160</v>
      </c>
      <c r="C297" s="36">
        <v>15405</v>
      </c>
    </row>
    <row r="298" spans="1:3" x14ac:dyDescent="0.2">
      <c r="A298" s="35"/>
      <c r="B298" s="36" t="s">
        <v>161</v>
      </c>
      <c r="C298" s="36">
        <v>10742</v>
      </c>
    </row>
    <row r="299" spans="1:3" x14ac:dyDescent="0.2">
      <c r="A299" s="35"/>
      <c r="B299" s="36" t="s">
        <v>162</v>
      </c>
      <c r="C299" s="36">
        <v>13399</v>
      </c>
    </row>
    <row r="300" spans="1:3" x14ac:dyDescent="0.2">
      <c r="A300" s="34" t="s">
        <v>79</v>
      </c>
      <c r="B300" s="37"/>
      <c r="C300" s="34">
        <v>196312</v>
      </c>
    </row>
    <row r="301" spans="1:3" x14ac:dyDescent="0.2">
      <c r="A301" s="34" t="s">
        <v>23</v>
      </c>
      <c r="B301" s="34" t="s">
        <v>151</v>
      </c>
      <c r="C301" s="34">
        <v>21328</v>
      </c>
    </row>
    <row r="302" spans="1:3" x14ac:dyDescent="0.2">
      <c r="A302" s="35"/>
      <c r="B302" s="36" t="s">
        <v>152</v>
      </c>
      <c r="C302" s="36">
        <v>18341</v>
      </c>
    </row>
    <row r="303" spans="1:3" x14ac:dyDescent="0.2">
      <c r="A303" s="35"/>
      <c r="B303" s="36" t="s">
        <v>153</v>
      </c>
      <c r="C303" s="36">
        <v>10311</v>
      </c>
    </row>
    <row r="304" spans="1:3" x14ac:dyDescent="0.2">
      <c r="A304" s="35"/>
      <c r="B304" s="36" t="s">
        <v>154</v>
      </c>
      <c r="C304" s="36">
        <v>8365</v>
      </c>
    </row>
    <row r="305" spans="1:3" x14ac:dyDescent="0.2">
      <c r="A305" s="35"/>
      <c r="B305" s="36" t="s">
        <v>155</v>
      </c>
      <c r="C305" s="36">
        <v>6556</v>
      </c>
    </row>
    <row r="306" spans="1:3" x14ac:dyDescent="0.2">
      <c r="A306" s="35"/>
      <c r="B306" s="36" t="s">
        <v>156</v>
      </c>
      <c r="C306" s="36">
        <v>5224</v>
      </c>
    </row>
    <row r="307" spans="1:3" x14ac:dyDescent="0.2">
      <c r="A307" s="35"/>
      <c r="B307" s="36" t="s">
        <v>157</v>
      </c>
      <c r="C307" s="36">
        <v>4088</v>
      </c>
    </row>
    <row r="308" spans="1:3" x14ac:dyDescent="0.2">
      <c r="A308" s="35"/>
      <c r="B308" s="36" t="s">
        <v>158</v>
      </c>
      <c r="C308" s="36">
        <v>4241</v>
      </c>
    </row>
    <row r="309" spans="1:3" x14ac:dyDescent="0.2">
      <c r="A309" s="35"/>
      <c r="B309" s="36" t="s">
        <v>159</v>
      </c>
      <c r="C309" s="36">
        <v>5261</v>
      </c>
    </row>
    <row r="310" spans="1:3" x14ac:dyDescent="0.2">
      <c r="A310" s="35"/>
      <c r="B310" s="36" t="s">
        <v>160</v>
      </c>
      <c r="C310" s="36">
        <v>9835</v>
      </c>
    </row>
    <row r="311" spans="1:3" x14ac:dyDescent="0.2">
      <c r="A311" s="35"/>
      <c r="B311" s="36" t="s">
        <v>161</v>
      </c>
      <c r="C311" s="36">
        <v>11768</v>
      </c>
    </row>
    <row r="312" spans="1:3" x14ac:dyDescent="0.2">
      <c r="A312" s="35"/>
      <c r="B312" s="36" t="s">
        <v>162</v>
      </c>
      <c r="C312" s="36">
        <v>13733</v>
      </c>
    </row>
    <row r="313" spans="1:3" x14ac:dyDescent="0.2">
      <c r="A313" s="34" t="s">
        <v>80</v>
      </c>
      <c r="B313" s="37"/>
      <c r="C313" s="34">
        <v>119051</v>
      </c>
    </row>
    <row r="314" spans="1:3" x14ac:dyDescent="0.2">
      <c r="A314" s="34" t="s">
        <v>24</v>
      </c>
      <c r="B314" s="34" t="s">
        <v>151</v>
      </c>
      <c r="C314" s="34">
        <v>3279</v>
      </c>
    </row>
    <row r="315" spans="1:3" x14ac:dyDescent="0.2">
      <c r="A315" s="35"/>
      <c r="B315" s="36" t="s">
        <v>152</v>
      </c>
      <c r="C315" s="36">
        <v>3894</v>
      </c>
    </row>
    <row r="316" spans="1:3" x14ac:dyDescent="0.2">
      <c r="A316" s="35"/>
      <c r="B316" s="36" t="s">
        <v>153</v>
      </c>
      <c r="C316" s="36">
        <v>4139</v>
      </c>
    </row>
    <row r="317" spans="1:3" x14ac:dyDescent="0.2">
      <c r="A317" s="35"/>
      <c r="B317" s="36" t="s">
        <v>154</v>
      </c>
      <c r="C317" s="36">
        <v>5537</v>
      </c>
    </row>
    <row r="318" spans="1:3" x14ac:dyDescent="0.2">
      <c r="A318" s="35"/>
      <c r="B318" s="36" t="s">
        <v>155</v>
      </c>
      <c r="C318" s="36">
        <v>8099</v>
      </c>
    </row>
    <row r="319" spans="1:3" x14ac:dyDescent="0.2">
      <c r="A319" s="35"/>
      <c r="B319" s="36" t="s">
        <v>156</v>
      </c>
      <c r="C319" s="36">
        <v>6732</v>
      </c>
    </row>
    <row r="320" spans="1:3" x14ac:dyDescent="0.2">
      <c r="A320" s="35"/>
      <c r="B320" s="36" t="s">
        <v>157</v>
      </c>
      <c r="C320" s="36">
        <v>3097</v>
      </c>
    </row>
    <row r="321" spans="1:3" x14ac:dyDescent="0.2">
      <c r="A321" s="35"/>
      <c r="B321" s="36" t="s">
        <v>158</v>
      </c>
      <c r="C321" s="36">
        <v>4165</v>
      </c>
    </row>
    <row r="322" spans="1:3" x14ac:dyDescent="0.2">
      <c r="A322" s="35"/>
      <c r="B322" s="36" t="s">
        <v>159</v>
      </c>
      <c r="C322" s="36">
        <v>4582</v>
      </c>
    </row>
    <row r="323" spans="1:3" x14ac:dyDescent="0.2">
      <c r="A323" s="35"/>
      <c r="B323" s="36" t="s">
        <v>160</v>
      </c>
      <c r="C323" s="36">
        <v>5299</v>
      </c>
    </row>
    <row r="324" spans="1:3" x14ac:dyDescent="0.2">
      <c r="A324" s="35"/>
      <c r="B324" s="36" t="s">
        <v>161</v>
      </c>
      <c r="C324" s="36">
        <v>5164</v>
      </c>
    </row>
    <row r="325" spans="1:3" x14ac:dyDescent="0.2">
      <c r="A325" s="35"/>
      <c r="B325" s="36" t="s">
        <v>162</v>
      </c>
      <c r="C325" s="36">
        <v>6637</v>
      </c>
    </row>
    <row r="326" spans="1:3" x14ac:dyDescent="0.2">
      <c r="A326" s="34" t="s">
        <v>81</v>
      </c>
      <c r="B326" s="37"/>
      <c r="C326" s="34">
        <v>60624</v>
      </c>
    </row>
    <row r="327" spans="1:3" x14ac:dyDescent="0.2">
      <c r="A327" s="34" t="s">
        <v>25</v>
      </c>
      <c r="B327" s="34" t="s">
        <v>151</v>
      </c>
      <c r="C327" s="34">
        <v>8194</v>
      </c>
    </row>
    <row r="328" spans="1:3" x14ac:dyDescent="0.2">
      <c r="A328" s="35"/>
      <c r="B328" s="36" t="s">
        <v>152</v>
      </c>
      <c r="C328" s="36">
        <v>6209</v>
      </c>
    </row>
    <row r="329" spans="1:3" x14ac:dyDescent="0.2">
      <c r="A329" s="35"/>
      <c r="B329" s="36" t="s">
        <v>153</v>
      </c>
      <c r="C329" s="36">
        <v>2939</v>
      </c>
    </row>
    <row r="330" spans="1:3" x14ac:dyDescent="0.2">
      <c r="A330" s="35"/>
      <c r="B330" s="36" t="s">
        <v>154</v>
      </c>
      <c r="C330" s="36">
        <v>2451</v>
      </c>
    </row>
    <row r="331" spans="1:3" x14ac:dyDescent="0.2">
      <c r="A331" s="35"/>
      <c r="B331" s="36" t="s">
        <v>155</v>
      </c>
      <c r="C331" s="36">
        <v>2271</v>
      </c>
    </row>
    <row r="332" spans="1:3" x14ac:dyDescent="0.2">
      <c r="A332" s="35"/>
      <c r="B332" s="36" t="s">
        <v>156</v>
      </c>
      <c r="C332" s="36">
        <v>1781</v>
      </c>
    </row>
    <row r="333" spans="1:3" x14ac:dyDescent="0.2">
      <c r="A333" s="35"/>
      <c r="B333" s="36" t="s">
        <v>157</v>
      </c>
      <c r="C333" s="36">
        <v>1549</v>
      </c>
    </row>
    <row r="334" spans="1:3" x14ac:dyDescent="0.2">
      <c r="A334" s="35"/>
      <c r="B334" s="36" t="s">
        <v>158</v>
      </c>
      <c r="C334" s="36">
        <v>946</v>
      </c>
    </row>
    <row r="335" spans="1:3" x14ac:dyDescent="0.2">
      <c r="A335" s="35"/>
      <c r="B335" s="36" t="s">
        <v>159</v>
      </c>
      <c r="C335" s="36">
        <v>713</v>
      </c>
    </row>
    <row r="336" spans="1:3" x14ac:dyDescent="0.2">
      <c r="A336" s="35"/>
      <c r="B336" s="36" t="s">
        <v>160</v>
      </c>
      <c r="C336" s="36">
        <v>759</v>
      </c>
    </row>
    <row r="337" spans="1:3" x14ac:dyDescent="0.2">
      <c r="A337" s="35"/>
      <c r="B337" s="36" t="s">
        <v>161</v>
      </c>
      <c r="C337" s="36">
        <v>781</v>
      </c>
    </row>
    <row r="338" spans="1:3" x14ac:dyDescent="0.2">
      <c r="A338" s="35"/>
      <c r="B338" s="36" t="s">
        <v>162</v>
      </c>
      <c r="C338" s="36">
        <v>1364</v>
      </c>
    </row>
    <row r="339" spans="1:3" x14ac:dyDescent="0.2">
      <c r="A339" s="34" t="s">
        <v>82</v>
      </c>
      <c r="B339" s="37"/>
      <c r="C339" s="34">
        <v>29957</v>
      </c>
    </row>
    <row r="340" spans="1:3" x14ac:dyDescent="0.2">
      <c r="A340" s="34" t="s">
        <v>26</v>
      </c>
      <c r="B340" s="34" t="s">
        <v>151</v>
      </c>
      <c r="C340" s="34">
        <v>14162</v>
      </c>
    </row>
    <row r="341" spans="1:3" x14ac:dyDescent="0.2">
      <c r="A341" s="35"/>
      <c r="B341" s="36" t="s">
        <v>152</v>
      </c>
      <c r="C341" s="36">
        <v>31848</v>
      </c>
    </row>
    <row r="342" spans="1:3" x14ac:dyDescent="0.2">
      <c r="A342" s="35"/>
      <c r="B342" s="36" t="s">
        <v>153</v>
      </c>
      <c r="C342" s="36">
        <v>33807</v>
      </c>
    </row>
    <row r="343" spans="1:3" x14ac:dyDescent="0.2">
      <c r="A343" s="35"/>
      <c r="B343" s="36" t="s">
        <v>154</v>
      </c>
      <c r="C343" s="36">
        <v>32909</v>
      </c>
    </row>
    <row r="344" spans="1:3" x14ac:dyDescent="0.2">
      <c r="A344" s="35"/>
      <c r="B344" s="36" t="s">
        <v>155</v>
      </c>
      <c r="C344" s="36">
        <v>28122</v>
      </c>
    </row>
    <row r="345" spans="1:3" x14ac:dyDescent="0.2">
      <c r="A345" s="35"/>
      <c r="B345" s="36" t="s">
        <v>156</v>
      </c>
      <c r="C345" s="36">
        <v>21655</v>
      </c>
    </row>
    <row r="346" spans="1:3" x14ac:dyDescent="0.2">
      <c r="A346" s="35"/>
      <c r="B346" s="36" t="s">
        <v>157</v>
      </c>
      <c r="C346" s="36">
        <v>13571</v>
      </c>
    </row>
    <row r="347" spans="1:3" x14ac:dyDescent="0.2">
      <c r="A347" s="35"/>
      <c r="B347" s="36" t="s">
        <v>158</v>
      </c>
      <c r="C347" s="36">
        <v>15252</v>
      </c>
    </row>
    <row r="348" spans="1:3" x14ac:dyDescent="0.2">
      <c r="A348" s="35"/>
      <c r="B348" s="36" t="s">
        <v>159</v>
      </c>
      <c r="C348" s="36">
        <v>13419</v>
      </c>
    </row>
    <row r="349" spans="1:3" x14ac:dyDescent="0.2">
      <c r="A349" s="35"/>
      <c r="B349" s="36" t="s">
        <v>160</v>
      </c>
      <c r="C349" s="36">
        <v>16311</v>
      </c>
    </row>
    <row r="350" spans="1:3" x14ac:dyDescent="0.2">
      <c r="A350" s="35"/>
      <c r="B350" s="36" t="s">
        <v>161</v>
      </c>
      <c r="C350" s="36">
        <v>10927</v>
      </c>
    </row>
    <row r="351" spans="1:3" x14ac:dyDescent="0.2">
      <c r="A351" s="35"/>
      <c r="B351" s="36" t="s">
        <v>162</v>
      </c>
      <c r="C351" s="36">
        <v>9683</v>
      </c>
    </row>
    <row r="352" spans="1:3" x14ac:dyDescent="0.2">
      <c r="A352" s="34" t="s">
        <v>83</v>
      </c>
      <c r="B352" s="37"/>
      <c r="C352" s="34">
        <v>241666</v>
      </c>
    </row>
    <row r="353" spans="1:3" x14ac:dyDescent="0.2">
      <c r="A353" s="34" t="s">
        <v>27</v>
      </c>
      <c r="B353" s="34" t="s">
        <v>151</v>
      </c>
      <c r="C353" s="34">
        <v>11511</v>
      </c>
    </row>
    <row r="354" spans="1:3" x14ac:dyDescent="0.2">
      <c r="A354" s="35"/>
      <c r="B354" s="36" t="s">
        <v>152</v>
      </c>
      <c r="C354" s="36">
        <v>10494</v>
      </c>
    </row>
    <row r="355" spans="1:3" x14ac:dyDescent="0.2">
      <c r="A355" s="35"/>
      <c r="B355" s="36" t="s">
        <v>153</v>
      </c>
      <c r="C355" s="36">
        <v>7481</v>
      </c>
    </row>
    <row r="356" spans="1:3" x14ac:dyDescent="0.2">
      <c r="A356" s="35"/>
      <c r="B356" s="36" t="s">
        <v>154</v>
      </c>
      <c r="C356" s="36">
        <v>6617</v>
      </c>
    </row>
    <row r="357" spans="1:3" x14ac:dyDescent="0.2">
      <c r="A357" s="35"/>
      <c r="B357" s="36" t="s">
        <v>155</v>
      </c>
      <c r="C357" s="36">
        <v>7357</v>
      </c>
    </row>
    <row r="358" spans="1:3" x14ac:dyDescent="0.2">
      <c r="A358" s="35"/>
      <c r="B358" s="36" t="s">
        <v>156</v>
      </c>
      <c r="C358" s="36">
        <v>4783</v>
      </c>
    </row>
    <row r="359" spans="1:3" x14ac:dyDescent="0.2">
      <c r="A359" s="35"/>
      <c r="B359" s="36" t="s">
        <v>157</v>
      </c>
      <c r="C359" s="36">
        <v>3967</v>
      </c>
    </row>
    <row r="360" spans="1:3" x14ac:dyDescent="0.2">
      <c r="A360" s="35"/>
      <c r="B360" s="36" t="s">
        <v>158</v>
      </c>
      <c r="C360" s="36">
        <v>3480</v>
      </c>
    </row>
    <row r="361" spans="1:3" x14ac:dyDescent="0.2">
      <c r="A361" s="35"/>
      <c r="B361" s="36" t="s">
        <v>159</v>
      </c>
      <c r="C361" s="36">
        <v>3223</v>
      </c>
    </row>
    <row r="362" spans="1:3" x14ac:dyDescent="0.2">
      <c r="A362" s="35"/>
      <c r="B362" s="36" t="s">
        <v>160</v>
      </c>
      <c r="C362" s="36">
        <v>3928</v>
      </c>
    </row>
    <row r="363" spans="1:3" x14ac:dyDescent="0.2">
      <c r="A363" s="35"/>
      <c r="B363" s="36" t="s">
        <v>161</v>
      </c>
      <c r="C363" s="36">
        <v>4682</v>
      </c>
    </row>
    <row r="364" spans="1:3" x14ac:dyDescent="0.2">
      <c r="A364" s="35"/>
      <c r="B364" s="36" t="s">
        <v>162</v>
      </c>
      <c r="C364" s="36">
        <v>7216</v>
      </c>
    </row>
    <row r="365" spans="1:3" x14ac:dyDescent="0.2">
      <c r="A365" s="34" t="s">
        <v>84</v>
      </c>
      <c r="B365" s="37"/>
      <c r="C365" s="34">
        <v>74739</v>
      </c>
    </row>
    <row r="366" spans="1:3" x14ac:dyDescent="0.2">
      <c r="A366" s="34" t="s">
        <v>28</v>
      </c>
      <c r="B366" s="34" t="s">
        <v>151</v>
      </c>
      <c r="C366" s="34">
        <v>12322</v>
      </c>
    </row>
    <row r="367" spans="1:3" x14ac:dyDescent="0.2">
      <c r="A367" s="35"/>
      <c r="B367" s="36" t="s">
        <v>152</v>
      </c>
      <c r="C367" s="36">
        <v>12724</v>
      </c>
    </row>
    <row r="368" spans="1:3" x14ac:dyDescent="0.2">
      <c r="A368" s="35"/>
      <c r="B368" s="36" t="s">
        <v>153</v>
      </c>
      <c r="C368" s="36">
        <v>10341</v>
      </c>
    </row>
    <row r="369" spans="1:3" x14ac:dyDescent="0.2">
      <c r="A369" s="35"/>
      <c r="B369" s="36" t="s">
        <v>154</v>
      </c>
      <c r="C369" s="36">
        <v>10052</v>
      </c>
    </row>
    <row r="370" spans="1:3" x14ac:dyDescent="0.2">
      <c r="A370" s="35"/>
      <c r="B370" s="36" t="s">
        <v>155</v>
      </c>
      <c r="C370" s="36">
        <v>14789</v>
      </c>
    </row>
    <row r="371" spans="1:3" x14ac:dyDescent="0.2">
      <c r="A371" s="35"/>
      <c r="B371" s="36" t="s">
        <v>156</v>
      </c>
      <c r="C371" s="36">
        <v>11643</v>
      </c>
    </row>
    <row r="372" spans="1:3" x14ac:dyDescent="0.2">
      <c r="A372" s="35"/>
      <c r="B372" s="36" t="s">
        <v>157</v>
      </c>
      <c r="C372" s="36">
        <v>7924</v>
      </c>
    </row>
    <row r="373" spans="1:3" x14ac:dyDescent="0.2">
      <c r="A373" s="35"/>
      <c r="B373" s="36" t="s">
        <v>158</v>
      </c>
      <c r="C373" s="36">
        <v>7571</v>
      </c>
    </row>
    <row r="374" spans="1:3" x14ac:dyDescent="0.2">
      <c r="A374" s="35"/>
      <c r="B374" s="36" t="s">
        <v>159</v>
      </c>
      <c r="C374" s="36">
        <v>9386</v>
      </c>
    </row>
    <row r="375" spans="1:3" x14ac:dyDescent="0.2">
      <c r="A375" s="35"/>
      <c r="B375" s="36" t="s">
        <v>160</v>
      </c>
      <c r="C375" s="36">
        <v>9998</v>
      </c>
    </row>
    <row r="376" spans="1:3" x14ac:dyDescent="0.2">
      <c r="A376" s="35"/>
      <c r="B376" s="36" t="s">
        <v>161</v>
      </c>
      <c r="C376" s="36">
        <v>8791</v>
      </c>
    </row>
    <row r="377" spans="1:3" x14ac:dyDescent="0.2">
      <c r="A377" s="35"/>
      <c r="B377" s="36" t="s">
        <v>162</v>
      </c>
      <c r="C377" s="36">
        <v>13623</v>
      </c>
    </row>
    <row r="378" spans="1:3" x14ac:dyDescent="0.2">
      <c r="A378" s="34" t="s">
        <v>85</v>
      </c>
      <c r="B378" s="37"/>
      <c r="C378" s="34">
        <v>129164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9"/>
  <sheetViews>
    <sheetView tabSelected="1" topLeftCell="A347" workbookViewId="0">
      <selection activeCell="I380" sqref="I380"/>
    </sheetView>
  </sheetViews>
  <sheetFormatPr baseColWidth="10" defaultColWidth="8.83203125" defaultRowHeight="15" x14ac:dyDescent="0.2"/>
  <cols>
    <col min="1" max="1" width="16.6640625" bestFit="1" customWidth="1"/>
    <col min="2" max="2" width="16.6640625" customWidth="1"/>
    <col min="3" max="3" width="12.33203125" customWidth="1"/>
  </cols>
  <sheetData>
    <row r="1" spans="1:4" ht="16" x14ac:dyDescent="0.2">
      <c r="A1" s="26" t="s">
        <v>30</v>
      </c>
      <c r="B1" s="3" t="s">
        <v>43</v>
      </c>
      <c r="C1" s="26" t="s">
        <v>196</v>
      </c>
      <c r="D1" s="26"/>
    </row>
    <row r="2" spans="1:4" s="3" customFormat="1" x14ac:dyDescent="0.2">
      <c r="A2" s="3" t="s">
        <v>0</v>
      </c>
      <c r="B2" t="s">
        <v>163</v>
      </c>
      <c r="C2">
        <v>6319</v>
      </c>
    </row>
    <row r="3" spans="1:4" x14ac:dyDescent="0.2">
      <c r="B3" t="s">
        <v>164</v>
      </c>
      <c r="C3">
        <v>6679</v>
      </c>
    </row>
    <row r="4" spans="1:4" x14ac:dyDescent="0.2">
      <c r="B4" t="s">
        <v>165</v>
      </c>
      <c r="C4">
        <v>5169</v>
      </c>
    </row>
    <row r="5" spans="1:4" x14ac:dyDescent="0.2">
      <c r="B5" t="s">
        <v>166</v>
      </c>
      <c r="C5">
        <v>8230</v>
      </c>
    </row>
    <row r="6" spans="1:4" x14ac:dyDescent="0.2">
      <c r="B6" t="s">
        <v>167</v>
      </c>
      <c r="C6">
        <v>7949</v>
      </c>
    </row>
    <row r="7" spans="1:4" x14ac:dyDescent="0.2">
      <c r="B7" t="s">
        <v>168</v>
      </c>
      <c r="C7">
        <v>14327</v>
      </c>
    </row>
    <row r="8" spans="1:4" x14ac:dyDescent="0.2">
      <c r="B8" t="s">
        <v>169</v>
      </c>
      <c r="C8">
        <v>11462</v>
      </c>
    </row>
    <row r="9" spans="1:4" x14ac:dyDescent="0.2">
      <c r="B9" t="s">
        <v>170</v>
      </c>
      <c r="C9">
        <v>6797</v>
      </c>
    </row>
    <row r="10" spans="1:4" x14ac:dyDescent="0.2">
      <c r="B10" t="s">
        <v>171</v>
      </c>
      <c r="C10">
        <v>7279</v>
      </c>
    </row>
    <row r="11" spans="1:4" x14ac:dyDescent="0.2">
      <c r="B11" t="s">
        <v>172</v>
      </c>
      <c r="C11">
        <v>13048</v>
      </c>
    </row>
    <row r="12" spans="1:4" x14ac:dyDescent="0.2">
      <c r="B12" t="s">
        <v>173</v>
      </c>
      <c r="C12">
        <v>12952</v>
      </c>
    </row>
    <row r="13" spans="1:4" x14ac:dyDescent="0.2">
      <c r="B13" t="s">
        <v>174</v>
      </c>
      <c r="C13">
        <v>6511</v>
      </c>
    </row>
    <row r="14" spans="1:4" x14ac:dyDescent="0.2">
      <c r="A14" t="s">
        <v>57</v>
      </c>
      <c r="C14" s="3">
        <v>106722</v>
      </c>
    </row>
    <row r="15" spans="1:4" s="3" customFormat="1" x14ac:dyDescent="0.2">
      <c r="A15" s="3" t="s">
        <v>1</v>
      </c>
      <c r="B15" t="s">
        <v>163</v>
      </c>
      <c r="C15">
        <v>27943</v>
      </c>
    </row>
    <row r="16" spans="1:4" x14ac:dyDescent="0.2">
      <c r="B16" t="s">
        <v>164</v>
      </c>
      <c r="C16">
        <v>36315</v>
      </c>
    </row>
    <row r="17" spans="1:3" x14ac:dyDescent="0.2">
      <c r="B17" t="s">
        <v>165</v>
      </c>
      <c r="C17">
        <v>34333</v>
      </c>
    </row>
    <row r="18" spans="1:3" x14ac:dyDescent="0.2">
      <c r="B18" t="s">
        <v>166</v>
      </c>
      <c r="C18">
        <v>37182</v>
      </c>
    </row>
    <row r="19" spans="1:3" x14ac:dyDescent="0.2">
      <c r="B19" t="s">
        <v>167</v>
      </c>
      <c r="C19">
        <v>35813</v>
      </c>
    </row>
    <row r="20" spans="1:3" x14ac:dyDescent="0.2">
      <c r="B20" t="s">
        <v>168</v>
      </c>
      <c r="C20">
        <v>48082</v>
      </c>
    </row>
    <row r="21" spans="1:3" x14ac:dyDescent="0.2">
      <c r="B21" t="s">
        <v>169</v>
      </c>
      <c r="C21">
        <v>42226</v>
      </c>
    </row>
    <row r="22" spans="1:3" x14ac:dyDescent="0.2">
      <c r="B22" t="s">
        <v>170</v>
      </c>
      <c r="C22">
        <v>34031</v>
      </c>
    </row>
    <row r="23" spans="1:3" x14ac:dyDescent="0.2">
      <c r="B23" t="s">
        <v>171</v>
      </c>
      <c r="C23">
        <v>26904</v>
      </c>
    </row>
    <row r="24" spans="1:3" x14ac:dyDescent="0.2">
      <c r="B24" t="s">
        <v>172</v>
      </c>
      <c r="C24">
        <v>31707</v>
      </c>
    </row>
    <row r="25" spans="1:3" x14ac:dyDescent="0.2">
      <c r="B25" t="s">
        <v>173</v>
      </c>
      <c r="C25">
        <v>30746</v>
      </c>
    </row>
    <row r="26" spans="1:3" x14ac:dyDescent="0.2">
      <c r="B26" t="s">
        <v>174</v>
      </c>
      <c r="C26">
        <v>25984</v>
      </c>
    </row>
    <row r="27" spans="1:3" x14ac:dyDescent="0.2">
      <c r="A27" s="34" t="s">
        <v>58</v>
      </c>
      <c r="C27" s="3">
        <v>411266</v>
      </c>
    </row>
    <row r="28" spans="1:3" s="3" customFormat="1" x14ac:dyDescent="0.2">
      <c r="A28" s="3" t="s">
        <v>2</v>
      </c>
      <c r="B28" t="s">
        <v>163</v>
      </c>
      <c r="C28">
        <v>8059</v>
      </c>
    </row>
    <row r="29" spans="1:3" x14ac:dyDescent="0.2">
      <c r="B29" t="s">
        <v>164</v>
      </c>
      <c r="C29">
        <v>17380</v>
      </c>
    </row>
    <row r="30" spans="1:3" x14ac:dyDescent="0.2">
      <c r="B30" t="s">
        <v>165</v>
      </c>
      <c r="C30">
        <v>17323</v>
      </c>
    </row>
    <row r="31" spans="1:3" x14ac:dyDescent="0.2">
      <c r="B31" t="s">
        <v>166</v>
      </c>
      <c r="C31">
        <v>25167</v>
      </c>
    </row>
    <row r="32" spans="1:3" x14ac:dyDescent="0.2">
      <c r="B32" t="s">
        <v>167</v>
      </c>
      <c r="C32">
        <v>20470</v>
      </c>
    </row>
    <row r="33" spans="1:3" x14ac:dyDescent="0.2">
      <c r="B33" t="s">
        <v>168</v>
      </c>
      <c r="C33">
        <v>26978</v>
      </c>
    </row>
    <row r="34" spans="1:3" x14ac:dyDescent="0.2">
      <c r="B34" t="s">
        <v>169</v>
      </c>
      <c r="C34">
        <v>19401</v>
      </c>
    </row>
    <row r="35" spans="1:3" x14ac:dyDescent="0.2">
      <c r="B35" t="s">
        <v>170</v>
      </c>
      <c r="C35">
        <v>20986</v>
      </c>
    </row>
    <row r="36" spans="1:3" x14ac:dyDescent="0.2">
      <c r="B36" t="s">
        <v>171</v>
      </c>
      <c r="C36">
        <v>18733</v>
      </c>
    </row>
    <row r="37" spans="1:3" x14ac:dyDescent="0.2">
      <c r="B37" t="s">
        <v>172</v>
      </c>
      <c r="C37">
        <v>17947</v>
      </c>
    </row>
    <row r="38" spans="1:3" x14ac:dyDescent="0.2">
      <c r="B38" t="s">
        <v>173</v>
      </c>
      <c r="C38">
        <v>11587</v>
      </c>
    </row>
    <row r="39" spans="1:3" x14ac:dyDescent="0.2">
      <c r="B39" t="s">
        <v>174</v>
      </c>
      <c r="C39">
        <v>8070</v>
      </c>
    </row>
    <row r="40" spans="1:3" x14ac:dyDescent="0.2">
      <c r="A40" s="34" t="s">
        <v>59</v>
      </c>
      <c r="C40" s="3">
        <v>212101</v>
      </c>
    </row>
    <row r="41" spans="1:3" s="3" customFormat="1" x14ac:dyDescent="0.2">
      <c r="A41" s="3" t="s">
        <v>3</v>
      </c>
      <c r="B41" t="s">
        <v>163</v>
      </c>
      <c r="C41">
        <v>5510</v>
      </c>
    </row>
    <row r="42" spans="1:3" x14ac:dyDescent="0.2">
      <c r="B42" t="s">
        <v>164</v>
      </c>
      <c r="C42">
        <v>6596</v>
      </c>
    </row>
    <row r="43" spans="1:3" x14ac:dyDescent="0.2">
      <c r="B43" t="s">
        <v>165</v>
      </c>
      <c r="C43">
        <v>4699</v>
      </c>
    </row>
    <row r="44" spans="1:3" x14ac:dyDescent="0.2">
      <c r="B44" t="s">
        <v>166</v>
      </c>
      <c r="C44">
        <v>5497</v>
      </c>
    </row>
    <row r="45" spans="1:3" x14ac:dyDescent="0.2">
      <c r="B45" t="s">
        <v>167</v>
      </c>
      <c r="C45">
        <v>4731</v>
      </c>
    </row>
    <row r="46" spans="1:3" x14ac:dyDescent="0.2">
      <c r="B46" t="s">
        <v>168</v>
      </c>
      <c r="C46">
        <v>9188</v>
      </c>
    </row>
    <row r="47" spans="1:3" x14ac:dyDescent="0.2">
      <c r="B47" t="s">
        <v>169</v>
      </c>
      <c r="C47">
        <v>7719</v>
      </c>
    </row>
    <row r="48" spans="1:3" x14ac:dyDescent="0.2">
      <c r="B48" t="s">
        <v>170</v>
      </c>
      <c r="C48">
        <v>4599</v>
      </c>
    </row>
    <row r="49" spans="1:3" x14ac:dyDescent="0.2">
      <c r="B49" t="s">
        <v>171</v>
      </c>
      <c r="C49">
        <v>2445</v>
      </c>
    </row>
    <row r="50" spans="1:3" x14ac:dyDescent="0.2">
      <c r="B50" t="s">
        <v>172</v>
      </c>
      <c r="C50">
        <v>3346</v>
      </c>
    </row>
    <row r="51" spans="1:3" x14ac:dyDescent="0.2">
      <c r="B51" t="s">
        <v>173</v>
      </c>
      <c r="C51">
        <v>5823</v>
      </c>
    </row>
    <row r="52" spans="1:3" x14ac:dyDescent="0.2">
      <c r="B52" t="s">
        <v>174</v>
      </c>
      <c r="C52">
        <v>4957</v>
      </c>
    </row>
    <row r="53" spans="1:3" x14ac:dyDescent="0.2">
      <c r="A53" s="34" t="s">
        <v>60</v>
      </c>
      <c r="C53" s="3">
        <v>65110</v>
      </c>
    </row>
    <row r="54" spans="1:3" s="3" customFormat="1" x14ac:dyDescent="0.2">
      <c r="A54" s="3" t="s">
        <v>4</v>
      </c>
      <c r="B54" t="s">
        <v>163</v>
      </c>
      <c r="C54">
        <v>7196</v>
      </c>
    </row>
    <row r="55" spans="1:3" x14ac:dyDescent="0.2">
      <c r="B55" t="s">
        <v>164</v>
      </c>
      <c r="C55">
        <v>5670</v>
      </c>
    </row>
    <row r="56" spans="1:3" x14ac:dyDescent="0.2">
      <c r="B56" t="s">
        <v>165</v>
      </c>
      <c r="C56">
        <v>2388</v>
      </c>
    </row>
    <row r="57" spans="1:3" x14ac:dyDescent="0.2">
      <c r="B57" t="s">
        <v>166</v>
      </c>
      <c r="C57">
        <v>4136</v>
      </c>
    </row>
    <row r="58" spans="1:3" x14ac:dyDescent="0.2">
      <c r="B58" t="s">
        <v>167</v>
      </c>
      <c r="C58">
        <v>4776</v>
      </c>
    </row>
    <row r="59" spans="1:3" x14ac:dyDescent="0.2">
      <c r="B59" t="s">
        <v>168</v>
      </c>
      <c r="C59">
        <v>5478</v>
      </c>
    </row>
    <row r="60" spans="1:3" x14ac:dyDescent="0.2">
      <c r="B60" t="s">
        <v>169</v>
      </c>
      <c r="C60">
        <v>4254</v>
      </c>
    </row>
    <row r="61" spans="1:3" x14ac:dyDescent="0.2">
      <c r="B61" t="s">
        <v>170</v>
      </c>
      <c r="C61">
        <v>3320</v>
      </c>
    </row>
    <row r="62" spans="1:3" x14ac:dyDescent="0.2">
      <c r="B62" t="s">
        <v>171</v>
      </c>
      <c r="C62">
        <v>2217</v>
      </c>
    </row>
    <row r="63" spans="1:3" x14ac:dyDescent="0.2">
      <c r="B63" t="s">
        <v>172</v>
      </c>
      <c r="C63">
        <v>2703</v>
      </c>
    </row>
    <row r="64" spans="1:3" x14ac:dyDescent="0.2">
      <c r="B64" t="s">
        <v>173</v>
      </c>
      <c r="C64">
        <v>3037</v>
      </c>
    </row>
    <row r="65" spans="1:3" x14ac:dyDescent="0.2">
      <c r="B65" t="s">
        <v>174</v>
      </c>
      <c r="C65">
        <v>3560</v>
      </c>
    </row>
    <row r="66" spans="1:3" x14ac:dyDescent="0.2">
      <c r="A66" s="34" t="s">
        <v>61</v>
      </c>
      <c r="C66" s="3">
        <v>48735</v>
      </c>
    </row>
    <row r="67" spans="1:3" s="3" customFormat="1" x14ac:dyDescent="0.2">
      <c r="A67" s="3" t="s">
        <v>5</v>
      </c>
      <c r="B67" t="s">
        <v>163</v>
      </c>
      <c r="C67">
        <v>24466</v>
      </c>
    </row>
    <row r="68" spans="1:3" x14ac:dyDescent="0.2">
      <c r="B68" t="s">
        <v>164</v>
      </c>
      <c r="C68">
        <v>38179</v>
      </c>
    </row>
    <row r="69" spans="1:3" x14ac:dyDescent="0.2">
      <c r="B69" t="s">
        <v>165</v>
      </c>
      <c r="C69">
        <v>30436</v>
      </c>
    </row>
    <row r="70" spans="1:3" x14ac:dyDescent="0.2">
      <c r="B70" t="s">
        <v>166</v>
      </c>
      <c r="C70">
        <v>31281</v>
      </c>
    </row>
    <row r="71" spans="1:3" x14ac:dyDescent="0.2">
      <c r="B71" t="s">
        <v>167</v>
      </c>
      <c r="C71">
        <v>21970</v>
      </c>
    </row>
    <row r="72" spans="1:3" x14ac:dyDescent="0.2">
      <c r="B72" t="s">
        <v>168</v>
      </c>
      <c r="C72">
        <v>22102</v>
      </c>
    </row>
    <row r="73" spans="1:3" x14ac:dyDescent="0.2">
      <c r="B73" t="s">
        <v>169</v>
      </c>
      <c r="C73">
        <v>21725</v>
      </c>
    </row>
    <row r="74" spans="1:3" x14ac:dyDescent="0.2">
      <c r="B74" t="s">
        <v>170</v>
      </c>
      <c r="C74">
        <v>13759</v>
      </c>
    </row>
    <row r="75" spans="1:3" x14ac:dyDescent="0.2">
      <c r="B75" t="s">
        <v>171</v>
      </c>
      <c r="C75">
        <v>10108</v>
      </c>
    </row>
    <row r="76" spans="1:3" x14ac:dyDescent="0.2">
      <c r="B76" t="s">
        <v>172</v>
      </c>
      <c r="C76">
        <v>15199</v>
      </c>
    </row>
    <row r="77" spans="1:3" x14ac:dyDescent="0.2">
      <c r="B77" t="s">
        <v>173</v>
      </c>
      <c r="C77">
        <v>19425</v>
      </c>
    </row>
    <row r="78" spans="1:3" x14ac:dyDescent="0.2">
      <c r="B78" t="s">
        <v>174</v>
      </c>
      <c r="C78">
        <v>19537</v>
      </c>
    </row>
    <row r="79" spans="1:3" x14ac:dyDescent="0.2">
      <c r="A79" s="34" t="s">
        <v>62</v>
      </c>
      <c r="C79" s="3">
        <v>268187</v>
      </c>
    </row>
    <row r="80" spans="1:3" s="3" customFormat="1" x14ac:dyDescent="0.2">
      <c r="A80" s="3" t="s">
        <v>6</v>
      </c>
      <c r="B80" t="s">
        <v>163</v>
      </c>
      <c r="C80">
        <v>24898</v>
      </c>
    </row>
    <row r="81" spans="1:3" x14ac:dyDescent="0.2">
      <c r="B81" t="s">
        <v>164</v>
      </c>
      <c r="C81">
        <v>16802</v>
      </c>
    </row>
    <row r="82" spans="1:3" x14ac:dyDescent="0.2">
      <c r="B82" t="s">
        <v>165</v>
      </c>
      <c r="C82">
        <v>10131</v>
      </c>
    </row>
    <row r="83" spans="1:3" x14ac:dyDescent="0.2">
      <c r="B83" t="s">
        <v>166</v>
      </c>
      <c r="C83">
        <v>12591</v>
      </c>
    </row>
    <row r="84" spans="1:3" x14ac:dyDescent="0.2">
      <c r="B84" t="s">
        <v>167</v>
      </c>
      <c r="C84">
        <v>8980</v>
      </c>
    </row>
    <row r="85" spans="1:3" x14ac:dyDescent="0.2">
      <c r="B85" t="s">
        <v>168</v>
      </c>
      <c r="C85">
        <v>11686</v>
      </c>
    </row>
    <row r="86" spans="1:3" x14ac:dyDescent="0.2">
      <c r="B86" t="s">
        <v>169</v>
      </c>
      <c r="C86">
        <v>10447</v>
      </c>
    </row>
    <row r="87" spans="1:3" x14ac:dyDescent="0.2">
      <c r="B87" t="s">
        <v>170</v>
      </c>
      <c r="C87">
        <v>7429</v>
      </c>
    </row>
    <row r="88" spans="1:3" x14ac:dyDescent="0.2">
      <c r="B88" t="s">
        <v>171</v>
      </c>
      <c r="C88">
        <v>6659</v>
      </c>
    </row>
    <row r="89" spans="1:3" x14ac:dyDescent="0.2">
      <c r="B89" t="s">
        <v>172</v>
      </c>
      <c r="C89">
        <v>11685.5</v>
      </c>
    </row>
    <row r="90" spans="1:3" x14ac:dyDescent="0.2">
      <c r="B90" t="s">
        <v>173</v>
      </c>
      <c r="C90">
        <v>18094</v>
      </c>
    </row>
    <row r="91" spans="1:3" x14ac:dyDescent="0.2">
      <c r="B91" t="s">
        <v>174</v>
      </c>
      <c r="C91">
        <v>17269</v>
      </c>
    </row>
    <row r="92" spans="1:3" x14ac:dyDescent="0.2">
      <c r="A92" s="34" t="s">
        <v>63</v>
      </c>
      <c r="C92" s="3">
        <v>156671.5</v>
      </c>
    </row>
    <row r="93" spans="1:3" s="3" customFormat="1" x14ac:dyDescent="0.2">
      <c r="A93" s="3" t="s">
        <v>7</v>
      </c>
      <c r="B93" t="s">
        <v>163</v>
      </c>
      <c r="C93">
        <v>9095</v>
      </c>
    </row>
    <row r="94" spans="1:3" x14ac:dyDescent="0.2">
      <c r="B94" t="s">
        <v>164</v>
      </c>
      <c r="C94">
        <v>14621</v>
      </c>
    </row>
    <row r="95" spans="1:3" x14ac:dyDescent="0.2">
      <c r="B95" t="s">
        <v>165</v>
      </c>
      <c r="C95">
        <v>12803</v>
      </c>
    </row>
    <row r="96" spans="1:3" x14ac:dyDescent="0.2">
      <c r="B96" t="s">
        <v>166</v>
      </c>
      <c r="C96">
        <v>12261</v>
      </c>
    </row>
    <row r="97" spans="1:3" x14ac:dyDescent="0.2">
      <c r="B97" t="s">
        <v>167</v>
      </c>
      <c r="C97">
        <v>14274</v>
      </c>
    </row>
    <row r="98" spans="1:3" x14ac:dyDescent="0.2">
      <c r="B98" t="s">
        <v>168</v>
      </c>
      <c r="C98">
        <v>17362</v>
      </c>
    </row>
    <row r="99" spans="1:3" x14ac:dyDescent="0.2">
      <c r="B99" t="s">
        <v>169</v>
      </c>
      <c r="C99">
        <v>16902</v>
      </c>
    </row>
    <row r="100" spans="1:3" x14ac:dyDescent="0.2">
      <c r="B100" t="s">
        <v>170</v>
      </c>
      <c r="C100">
        <v>15069</v>
      </c>
    </row>
    <row r="101" spans="1:3" x14ac:dyDescent="0.2">
      <c r="B101" t="s">
        <v>171</v>
      </c>
      <c r="C101">
        <v>18830</v>
      </c>
    </row>
    <row r="102" spans="1:3" x14ac:dyDescent="0.2">
      <c r="B102" t="s">
        <v>172</v>
      </c>
      <c r="C102">
        <v>18805</v>
      </c>
    </row>
    <row r="103" spans="1:3" x14ac:dyDescent="0.2">
      <c r="B103" t="s">
        <v>173</v>
      </c>
      <c r="C103">
        <v>13981</v>
      </c>
    </row>
    <row r="104" spans="1:3" x14ac:dyDescent="0.2">
      <c r="B104" t="s">
        <v>174</v>
      </c>
      <c r="C104">
        <v>8609</v>
      </c>
    </row>
    <row r="105" spans="1:3" x14ac:dyDescent="0.2">
      <c r="A105" s="34" t="s">
        <v>64</v>
      </c>
      <c r="C105" s="3">
        <v>172612</v>
      </c>
    </row>
    <row r="106" spans="1:3" s="3" customFormat="1" x14ac:dyDescent="0.2">
      <c r="A106" s="3" t="s">
        <v>8</v>
      </c>
      <c r="B106" t="s">
        <v>163</v>
      </c>
      <c r="C106">
        <v>32746</v>
      </c>
    </row>
    <row r="107" spans="1:3" x14ac:dyDescent="0.2">
      <c r="B107" t="s">
        <v>164</v>
      </c>
      <c r="C107">
        <v>29035</v>
      </c>
    </row>
    <row r="108" spans="1:3" x14ac:dyDescent="0.2">
      <c r="B108" t="s">
        <v>165</v>
      </c>
      <c r="C108">
        <v>22657</v>
      </c>
    </row>
    <row r="109" spans="1:3" x14ac:dyDescent="0.2">
      <c r="B109" t="s">
        <v>166</v>
      </c>
      <c r="C109">
        <v>27694</v>
      </c>
    </row>
    <row r="110" spans="1:3" x14ac:dyDescent="0.2">
      <c r="B110" t="s">
        <v>167</v>
      </c>
      <c r="C110">
        <v>23861</v>
      </c>
    </row>
    <row r="111" spans="1:3" x14ac:dyDescent="0.2">
      <c r="B111" t="s">
        <v>168</v>
      </c>
      <c r="C111">
        <v>31605</v>
      </c>
    </row>
    <row r="112" spans="1:3" x14ac:dyDescent="0.2">
      <c r="B112" t="s">
        <v>169</v>
      </c>
      <c r="C112">
        <v>31407</v>
      </c>
    </row>
    <row r="113" spans="1:3" x14ac:dyDescent="0.2">
      <c r="B113" t="s">
        <v>170</v>
      </c>
      <c r="C113">
        <v>19977</v>
      </c>
    </row>
    <row r="114" spans="1:3" x14ac:dyDescent="0.2">
      <c r="B114" t="s">
        <v>171</v>
      </c>
      <c r="C114">
        <v>12108</v>
      </c>
    </row>
    <row r="115" spans="1:3" x14ac:dyDescent="0.2">
      <c r="B115" t="s">
        <v>172</v>
      </c>
      <c r="C115">
        <v>18732</v>
      </c>
    </row>
    <row r="116" spans="1:3" x14ac:dyDescent="0.2">
      <c r="B116" t="s">
        <v>173</v>
      </c>
      <c r="C116">
        <v>24536</v>
      </c>
    </row>
    <row r="117" spans="1:3" x14ac:dyDescent="0.2">
      <c r="B117" t="s">
        <v>174</v>
      </c>
      <c r="C117">
        <v>23873</v>
      </c>
    </row>
    <row r="118" spans="1:3" x14ac:dyDescent="0.2">
      <c r="A118" s="34" t="s">
        <v>65</v>
      </c>
      <c r="C118" s="3">
        <v>298231</v>
      </c>
    </row>
    <row r="119" spans="1:3" x14ac:dyDescent="0.2">
      <c r="A119" t="s">
        <v>9</v>
      </c>
      <c r="B119" t="s">
        <v>163</v>
      </c>
      <c r="C119">
        <v>331</v>
      </c>
    </row>
    <row r="120" spans="1:3" x14ac:dyDescent="0.2">
      <c r="B120" t="s">
        <v>164</v>
      </c>
      <c r="C120">
        <v>278</v>
      </c>
    </row>
    <row r="121" spans="1:3" x14ac:dyDescent="0.2">
      <c r="B121" t="s">
        <v>165</v>
      </c>
      <c r="C121">
        <v>312</v>
      </c>
    </row>
    <row r="122" spans="1:3" x14ac:dyDescent="0.2">
      <c r="B122" t="s">
        <v>166</v>
      </c>
      <c r="C122">
        <v>301</v>
      </c>
    </row>
    <row r="123" spans="1:3" x14ac:dyDescent="0.2">
      <c r="B123" t="s">
        <v>167</v>
      </c>
      <c r="C123">
        <v>615</v>
      </c>
    </row>
    <row r="124" spans="1:3" x14ac:dyDescent="0.2">
      <c r="B124" t="s">
        <v>168</v>
      </c>
      <c r="C124">
        <v>399</v>
      </c>
    </row>
    <row r="125" spans="1:3" x14ac:dyDescent="0.2">
      <c r="B125" t="s">
        <v>169</v>
      </c>
      <c r="C125">
        <v>306</v>
      </c>
    </row>
    <row r="126" spans="1:3" x14ac:dyDescent="0.2">
      <c r="B126" t="s">
        <v>170</v>
      </c>
      <c r="C126">
        <v>362</v>
      </c>
    </row>
    <row r="127" spans="1:3" x14ac:dyDescent="0.2">
      <c r="B127" t="s">
        <v>171</v>
      </c>
      <c r="C127">
        <v>714</v>
      </c>
    </row>
    <row r="128" spans="1:3" x14ac:dyDescent="0.2">
      <c r="B128" t="s">
        <v>172</v>
      </c>
      <c r="C128">
        <v>436</v>
      </c>
    </row>
    <row r="129" spans="1:3" x14ac:dyDescent="0.2">
      <c r="B129" t="s">
        <v>173</v>
      </c>
      <c r="C129">
        <v>197</v>
      </c>
    </row>
    <row r="130" spans="1:3" x14ac:dyDescent="0.2">
      <c r="B130" t="s">
        <v>174</v>
      </c>
      <c r="C130">
        <v>142</v>
      </c>
    </row>
    <row r="131" spans="1:3" x14ac:dyDescent="0.2">
      <c r="A131" s="34" t="s">
        <v>66</v>
      </c>
      <c r="C131" s="3">
        <v>4393</v>
      </c>
    </row>
    <row r="132" spans="1:3" x14ac:dyDescent="0.2">
      <c r="A132" t="s">
        <v>10</v>
      </c>
      <c r="B132" t="s">
        <v>163</v>
      </c>
      <c r="C132">
        <v>48314</v>
      </c>
    </row>
    <row r="133" spans="1:3" x14ac:dyDescent="0.2">
      <c r="B133" t="s">
        <v>164</v>
      </c>
      <c r="C133">
        <v>40932</v>
      </c>
    </row>
    <row r="134" spans="1:3" x14ac:dyDescent="0.2">
      <c r="B134" t="s">
        <v>165</v>
      </c>
      <c r="C134">
        <v>51047</v>
      </c>
    </row>
    <row r="135" spans="1:3" x14ac:dyDescent="0.2">
      <c r="B135" t="s">
        <v>166</v>
      </c>
      <c r="C135">
        <v>36676</v>
      </c>
    </row>
    <row r="136" spans="1:3" x14ac:dyDescent="0.2">
      <c r="B136" t="s">
        <v>167</v>
      </c>
      <c r="C136">
        <v>38139</v>
      </c>
    </row>
    <row r="137" spans="1:3" x14ac:dyDescent="0.2">
      <c r="B137" t="s">
        <v>168</v>
      </c>
      <c r="C137">
        <v>38322</v>
      </c>
    </row>
    <row r="138" spans="1:3" x14ac:dyDescent="0.2">
      <c r="B138" t="s">
        <v>169</v>
      </c>
      <c r="C138">
        <v>25144</v>
      </c>
    </row>
    <row r="139" spans="1:3" x14ac:dyDescent="0.2">
      <c r="B139" t="s">
        <v>170</v>
      </c>
      <c r="C139">
        <v>20393</v>
      </c>
    </row>
    <row r="140" spans="1:3" x14ac:dyDescent="0.2">
      <c r="B140" t="s">
        <v>171</v>
      </c>
      <c r="C140">
        <v>29145</v>
      </c>
    </row>
    <row r="141" spans="1:3" x14ac:dyDescent="0.2">
      <c r="B141" t="s">
        <v>172</v>
      </c>
      <c r="C141">
        <v>39620</v>
      </c>
    </row>
    <row r="142" spans="1:3" x14ac:dyDescent="0.2">
      <c r="B142" t="s">
        <v>173</v>
      </c>
      <c r="C142">
        <v>44961</v>
      </c>
    </row>
    <row r="143" spans="1:3" x14ac:dyDescent="0.2">
      <c r="B143" t="s">
        <v>174</v>
      </c>
      <c r="C143">
        <v>53337</v>
      </c>
    </row>
    <row r="144" spans="1:3" x14ac:dyDescent="0.2">
      <c r="A144" s="34" t="s">
        <v>67</v>
      </c>
      <c r="C144" s="3">
        <v>466030</v>
      </c>
    </row>
    <row r="145" spans="1:3" x14ac:dyDescent="0.2">
      <c r="A145" t="s">
        <v>11</v>
      </c>
      <c r="B145" t="s">
        <v>163</v>
      </c>
      <c r="C145">
        <v>40997</v>
      </c>
    </row>
    <row r="146" spans="1:3" x14ac:dyDescent="0.2">
      <c r="B146" t="s">
        <v>164</v>
      </c>
      <c r="C146">
        <v>35425</v>
      </c>
    </row>
    <row r="147" spans="1:3" x14ac:dyDescent="0.2">
      <c r="B147" t="s">
        <v>165</v>
      </c>
      <c r="C147">
        <v>38643.5</v>
      </c>
    </row>
    <row r="148" spans="1:3" x14ac:dyDescent="0.2">
      <c r="B148" t="s">
        <v>166</v>
      </c>
      <c r="C148">
        <v>30846</v>
      </c>
    </row>
    <row r="149" spans="1:3" x14ac:dyDescent="0.2">
      <c r="B149" t="s">
        <v>167</v>
      </c>
      <c r="C149">
        <v>36679</v>
      </c>
    </row>
    <row r="150" spans="1:3" x14ac:dyDescent="0.2">
      <c r="B150" t="s">
        <v>168</v>
      </c>
      <c r="C150">
        <v>33544</v>
      </c>
    </row>
    <row r="151" spans="1:3" x14ac:dyDescent="0.2">
      <c r="B151" t="s">
        <v>169</v>
      </c>
      <c r="C151">
        <v>39421</v>
      </c>
    </row>
    <row r="152" spans="1:3" x14ac:dyDescent="0.2">
      <c r="B152" t="s">
        <v>170</v>
      </c>
      <c r="C152">
        <v>36555.5</v>
      </c>
    </row>
    <row r="153" spans="1:3" x14ac:dyDescent="0.2">
      <c r="B153" t="s">
        <v>171</v>
      </c>
      <c r="C153">
        <v>51505</v>
      </c>
    </row>
    <row r="154" spans="1:3" x14ac:dyDescent="0.2">
      <c r="B154" t="s">
        <v>172</v>
      </c>
      <c r="C154">
        <v>45096</v>
      </c>
    </row>
    <row r="155" spans="1:3" x14ac:dyDescent="0.2">
      <c r="B155" t="s">
        <v>173</v>
      </c>
      <c r="C155">
        <v>29941</v>
      </c>
    </row>
    <row r="156" spans="1:3" x14ac:dyDescent="0.2">
      <c r="B156" t="s">
        <v>174</v>
      </c>
      <c r="C156">
        <v>26278</v>
      </c>
    </row>
    <row r="157" spans="1:3" x14ac:dyDescent="0.2">
      <c r="A157" s="34" t="s">
        <v>68</v>
      </c>
      <c r="C157" s="3">
        <v>444931</v>
      </c>
    </row>
    <row r="158" spans="1:3" x14ac:dyDescent="0.2">
      <c r="A158" t="s">
        <v>12</v>
      </c>
      <c r="B158" t="s">
        <v>163</v>
      </c>
      <c r="C158">
        <v>22037</v>
      </c>
    </row>
    <row r="159" spans="1:3" x14ac:dyDescent="0.2">
      <c r="B159" t="s">
        <v>164</v>
      </c>
      <c r="C159">
        <v>16884</v>
      </c>
    </row>
    <row r="160" spans="1:3" x14ac:dyDescent="0.2">
      <c r="B160" t="s">
        <v>165</v>
      </c>
      <c r="C160">
        <v>18201</v>
      </c>
    </row>
    <row r="161" spans="1:3" x14ac:dyDescent="0.2">
      <c r="B161" t="s">
        <v>166</v>
      </c>
      <c r="C161">
        <v>17758</v>
      </c>
    </row>
    <row r="162" spans="1:3" x14ac:dyDescent="0.2">
      <c r="B162" t="s">
        <v>167</v>
      </c>
      <c r="C162">
        <v>30643</v>
      </c>
    </row>
    <row r="163" spans="1:3" x14ac:dyDescent="0.2">
      <c r="B163" t="s">
        <v>168</v>
      </c>
      <c r="C163">
        <v>36185</v>
      </c>
    </row>
    <row r="164" spans="1:3" x14ac:dyDescent="0.2">
      <c r="B164" t="s">
        <v>169</v>
      </c>
      <c r="C164">
        <v>30524</v>
      </c>
    </row>
    <row r="165" spans="1:3" x14ac:dyDescent="0.2">
      <c r="B165" t="s">
        <v>170</v>
      </c>
      <c r="C165">
        <v>27499</v>
      </c>
    </row>
    <row r="166" spans="1:3" x14ac:dyDescent="0.2">
      <c r="B166" t="s">
        <v>171</v>
      </c>
      <c r="C166">
        <v>47614</v>
      </c>
    </row>
    <row r="167" spans="1:3" x14ac:dyDescent="0.2">
      <c r="B167" t="s">
        <v>172</v>
      </c>
      <c r="C167">
        <v>46566</v>
      </c>
    </row>
    <row r="168" spans="1:3" x14ac:dyDescent="0.2">
      <c r="B168" t="s">
        <v>173</v>
      </c>
      <c r="C168">
        <v>30901</v>
      </c>
    </row>
    <row r="169" spans="1:3" x14ac:dyDescent="0.2">
      <c r="B169" t="s">
        <v>174</v>
      </c>
      <c r="C169">
        <v>25210</v>
      </c>
    </row>
    <row r="170" spans="1:3" x14ac:dyDescent="0.2">
      <c r="A170" s="34" t="s">
        <v>69</v>
      </c>
      <c r="C170" s="3">
        <v>350022</v>
      </c>
    </row>
    <row r="171" spans="1:3" x14ac:dyDescent="0.2">
      <c r="A171" t="s">
        <v>13</v>
      </c>
      <c r="B171" t="s">
        <v>163</v>
      </c>
      <c r="C171">
        <v>23132</v>
      </c>
    </row>
    <row r="172" spans="1:3" x14ac:dyDescent="0.2">
      <c r="B172" t="s">
        <v>164</v>
      </c>
      <c r="C172">
        <v>26120</v>
      </c>
    </row>
    <row r="173" spans="1:3" x14ac:dyDescent="0.2">
      <c r="B173" t="s">
        <v>165</v>
      </c>
      <c r="C173">
        <v>28929</v>
      </c>
    </row>
    <row r="174" spans="1:3" x14ac:dyDescent="0.2">
      <c r="B174" t="s">
        <v>166</v>
      </c>
      <c r="C174">
        <v>21443</v>
      </c>
    </row>
    <row r="175" spans="1:3" x14ac:dyDescent="0.2">
      <c r="B175" t="s">
        <v>167</v>
      </c>
      <c r="C175">
        <v>24292</v>
      </c>
    </row>
    <row r="176" spans="1:3" x14ac:dyDescent="0.2">
      <c r="B176" t="s">
        <v>168</v>
      </c>
      <c r="C176">
        <v>24386</v>
      </c>
    </row>
    <row r="177" spans="1:3" x14ac:dyDescent="0.2">
      <c r="B177" t="s">
        <v>169</v>
      </c>
      <c r="C177">
        <v>16108</v>
      </c>
    </row>
    <row r="178" spans="1:3" x14ac:dyDescent="0.2">
      <c r="B178" t="s">
        <v>170</v>
      </c>
      <c r="C178">
        <v>12782</v>
      </c>
    </row>
    <row r="179" spans="1:3" x14ac:dyDescent="0.2">
      <c r="B179" t="s">
        <v>171</v>
      </c>
      <c r="C179">
        <v>20186</v>
      </c>
    </row>
    <row r="180" spans="1:3" x14ac:dyDescent="0.2">
      <c r="B180" t="s">
        <v>172</v>
      </c>
      <c r="C180">
        <v>26693</v>
      </c>
    </row>
    <row r="181" spans="1:3" x14ac:dyDescent="0.2">
      <c r="B181" t="s">
        <v>173</v>
      </c>
      <c r="C181">
        <v>25938</v>
      </c>
    </row>
    <row r="182" spans="1:3" x14ac:dyDescent="0.2">
      <c r="B182" t="s">
        <v>174</v>
      </c>
      <c r="C182">
        <v>33815</v>
      </c>
    </row>
    <row r="183" spans="1:3" x14ac:dyDescent="0.2">
      <c r="A183" s="34" t="s">
        <v>70</v>
      </c>
      <c r="C183" s="3">
        <v>283824</v>
      </c>
    </row>
    <row r="184" spans="1:3" x14ac:dyDescent="0.2">
      <c r="A184" t="s">
        <v>14</v>
      </c>
      <c r="B184" t="s">
        <v>163</v>
      </c>
      <c r="C184">
        <v>36947</v>
      </c>
    </row>
    <row r="185" spans="1:3" x14ac:dyDescent="0.2">
      <c r="B185" t="s">
        <v>164</v>
      </c>
      <c r="C185">
        <v>27057</v>
      </c>
    </row>
    <row r="186" spans="1:3" x14ac:dyDescent="0.2">
      <c r="B186" t="s">
        <v>165</v>
      </c>
      <c r="C186">
        <v>30701</v>
      </c>
    </row>
    <row r="187" spans="1:3" x14ac:dyDescent="0.2">
      <c r="B187" t="s">
        <v>166</v>
      </c>
      <c r="C187">
        <v>25817</v>
      </c>
    </row>
    <row r="188" spans="1:3" x14ac:dyDescent="0.2">
      <c r="B188" t="s">
        <v>167</v>
      </c>
      <c r="C188">
        <v>36754</v>
      </c>
    </row>
    <row r="189" spans="1:3" x14ac:dyDescent="0.2">
      <c r="B189" t="s">
        <v>168</v>
      </c>
      <c r="C189">
        <v>29760</v>
      </c>
    </row>
    <row r="190" spans="1:3" x14ac:dyDescent="0.2">
      <c r="B190" t="s">
        <v>169</v>
      </c>
      <c r="C190">
        <v>22794</v>
      </c>
    </row>
    <row r="191" spans="1:3" x14ac:dyDescent="0.2">
      <c r="B191" t="s">
        <v>170</v>
      </c>
      <c r="C191">
        <v>22966</v>
      </c>
    </row>
    <row r="192" spans="1:3" x14ac:dyDescent="0.2">
      <c r="B192" t="s">
        <v>171</v>
      </c>
      <c r="C192">
        <v>27735</v>
      </c>
    </row>
    <row r="193" spans="1:3" x14ac:dyDescent="0.2">
      <c r="B193" t="s">
        <v>172</v>
      </c>
      <c r="C193">
        <v>33413</v>
      </c>
    </row>
    <row r="194" spans="1:3" x14ac:dyDescent="0.2">
      <c r="B194" t="s">
        <v>173</v>
      </c>
      <c r="C194">
        <v>33933</v>
      </c>
    </row>
    <row r="195" spans="1:3" x14ac:dyDescent="0.2">
      <c r="B195" t="s">
        <v>174</v>
      </c>
      <c r="C195">
        <v>35841</v>
      </c>
    </row>
    <row r="196" spans="1:3" x14ac:dyDescent="0.2">
      <c r="A196" s="34" t="s">
        <v>71</v>
      </c>
      <c r="C196" s="3">
        <v>363718</v>
      </c>
    </row>
    <row r="197" spans="1:3" x14ac:dyDescent="0.2">
      <c r="A197" t="s">
        <v>15</v>
      </c>
      <c r="B197" t="s">
        <v>163</v>
      </c>
      <c r="C197">
        <v>11526</v>
      </c>
    </row>
    <row r="198" spans="1:3" x14ac:dyDescent="0.2">
      <c r="B198" t="s">
        <v>164</v>
      </c>
      <c r="C198">
        <v>8539</v>
      </c>
    </row>
    <row r="199" spans="1:3" x14ac:dyDescent="0.2">
      <c r="B199" t="s">
        <v>165</v>
      </c>
      <c r="C199">
        <v>9563</v>
      </c>
    </row>
    <row r="200" spans="1:3" x14ac:dyDescent="0.2">
      <c r="B200" t="s">
        <v>166</v>
      </c>
      <c r="C200">
        <v>8055</v>
      </c>
    </row>
    <row r="201" spans="1:3" x14ac:dyDescent="0.2">
      <c r="B201" t="s">
        <v>167</v>
      </c>
      <c r="C201">
        <v>8163</v>
      </c>
    </row>
    <row r="202" spans="1:3" x14ac:dyDescent="0.2">
      <c r="B202" t="s">
        <v>168</v>
      </c>
      <c r="C202">
        <v>7061</v>
      </c>
    </row>
    <row r="203" spans="1:3" x14ac:dyDescent="0.2">
      <c r="B203" t="s">
        <v>169</v>
      </c>
      <c r="C203">
        <v>6175</v>
      </c>
    </row>
    <row r="204" spans="1:3" x14ac:dyDescent="0.2">
      <c r="B204" t="s">
        <v>170</v>
      </c>
      <c r="C204">
        <v>5717</v>
      </c>
    </row>
    <row r="205" spans="1:3" x14ac:dyDescent="0.2">
      <c r="B205" t="s">
        <v>171</v>
      </c>
      <c r="C205">
        <v>6898</v>
      </c>
    </row>
    <row r="206" spans="1:3" x14ac:dyDescent="0.2">
      <c r="B206" t="s">
        <v>172</v>
      </c>
      <c r="C206">
        <v>5413</v>
      </c>
    </row>
    <row r="207" spans="1:3" x14ac:dyDescent="0.2">
      <c r="B207" t="s">
        <v>173</v>
      </c>
      <c r="C207">
        <v>5641</v>
      </c>
    </row>
    <row r="208" spans="1:3" x14ac:dyDescent="0.2">
      <c r="B208" t="s">
        <v>174</v>
      </c>
      <c r="C208">
        <v>6258</v>
      </c>
    </row>
    <row r="209" spans="1:3" x14ac:dyDescent="0.2">
      <c r="A209" s="34" t="s">
        <v>72</v>
      </c>
      <c r="C209" s="3">
        <v>89009</v>
      </c>
    </row>
    <row r="210" spans="1:3" x14ac:dyDescent="0.2">
      <c r="A210" t="s">
        <v>16</v>
      </c>
      <c r="B210" t="s">
        <v>163</v>
      </c>
      <c r="C210">
        <v>8731</v>
      </c>
    </row>
    <row r="211" spans="1:3" x14ac:dyDescent="0.2">
      <c r="B211" t="s">
        <v>164</v>
      </c>
      <c r="C211">
        <v>7504</v>
      </c>
    </row>
    <row r="212" spans="1:3" x14ac:dyDescent="0.2">
      <c r="B212" t="s">
        <v>165</v>
      </c>
      <c r="C212">
        <v>9759</v>
      </c>
    </row>
    <row r="213" spans="1:3" x14ac:dyDescent="0.2">
      <c r="B213" t="s">
        <v>166</v>
      </c>
      <c r="C213">
        <v>9291</v>
      </c>
    </row>
    <row r="214" spans="1:3" x14ac:dyDescent="0.2">
      <c r="B214" t="s">
        <v>167</v>
      </c>
      <c r="C214">
        <v>10159</v>
      </c>
    </row>
    <row r="215" spans="1:3" x14ac:dyDescent="0.2">
      <c r="B215" t="s">
        <v>168</v>
      </c>
      <c r="C215">
        <v>8314</v>
      </c>
    </row>
    <row r="216" spans="1:3" x14ac:dyDescent="0.2">
      <c r="B216" t="s">
        <v>169</v>
      </c>
      <c r="C216">
        <v>4876</v>
      </c>
    </row>
    <row r="217" spans="1:3" x14ac:dyDescent="0.2">
      <c r="B217" t="s">
        <v>170</v>
      </c>
      <c r="C217">
        <v>3237</v>
      </c>
    </row>
    <row r="218" spans="1:3" x14ac:dyDescent="0.2">
      <c r="B218" t="s">
        <v>171</v>
      </c>
      <c r="C218">
        <v>3784</v>
      </c>
    </row>
    <row r="219" spans="1:3" x14ac:dyDescent="0.2">
      <c r="B219" t="s">
        <v>172</v>
      </c>
      <c r="C219">
        <v>4224</v>
      </c>
    </row>
    <row r="220" spans="1:3" x14ac:dyDescent="0.2">
      <c r="B220" t="s">
        <v>173</v>
      </c>
      <c r="C220">
        <v>4595</v>
      </c>
    </row>
    <row r="221" spans="1:3" x14ac:dyDescent="0.2">
      <c r="B221" t="s">
        <v>174</v>
      </c>
      <c r="C221">
        <v>6981</v>
      </c>
    </row>
    <row r="222" spans="1:3" x14ac:dyDescent="0.2">
      <c r="A222" s="34" t="s">
        <v>73</v>
      </c>
      <c r="C222" s="3">
        <v>81455</v>
      </c>
    </row>
    <row r="223" spans="1:3" x14ac:dyDescent="0.2">
      <c r="A223" t="s">
        <v>17</v>
      </c>
      <c r="B223" t="s">
        <v>163</v>
      </c>
      <c r="C223">
        <v>22314</v>
      </c>
    </row>
    <row r="224" spans="1:3" x14ac:dyDescent="0.2">
      <c r="B224" t="s">
        <v>164</v>
      </c>
      <c r="C224">
        <v>20319</v>
      </c>
    </row>
    <row r="225" spans="1:3" x14ac:dyDescent="0.2">
      <c r="B225" t="s">
        <v>165</v>
      </c>
      <c r="C225">
        <v>31727</v>
      </c>
    </row>
    <row r="226" spans="1:3" x14ac:dyDescent="0.2">
      <c r="B226" t="s">
        <v>166</v>
      </c>
      <c r="C226">
        <v>25535</v>
      </c>
    </row>
    <row r="227" spans="1:3" x14ac:dyDescent="0.2">
      <c r="B227" t="s">
        <v>167</v>
      </c>
      <c r="C227">
        <v>30748</v>
      </c>
    </row>
    <row r="228" spans="1:3" x14ac:dyDescent="0.2">
      <c r="B228" t="s">
        <v>168</v>
      </c>
      <c r="C228">
        <v>32237</v>
      </c>
    </row>
    <row r="229" spans="1:3" x14ac:dyDescent="0.2">
      <c r="B229" t="s">
        <v>169</v>
      </c>
      <c r="C229">
        <v>18972</v>
      </c>
    </row>
    <row r="230" spans="1:3" x14ac:dyDescent="0.2">
      <c r="B230" t="s">
        <v>170</v>
      </c>
      <c r="C230">
        <v>11738</v>
      </c>
    </row>
    <row r="231" spans="1:3" x14ac:dyDescent="0.2">
      <c r="B231" t="s">
        <v>171</v>
      </c>
      <c r="C231">
        <v>14279</v>
      </c>
    </row>
    <row r="232" spans="1:3" x14ac:dyDescent="0.2">
      <c r="B232" t="s">
        <v>172</v>
      </c>
      <c r="C232">
        <v>14675</v>
      </c>
    </row>
    <row r="233" spans="1:3" x14ac:dyDescent="0.2">
      <c r="B233" t="s">
        <v>173</v>
      </c>
      <c r="C233">
        <v>15717</v>
      </c>
    </row>
    <row r="234" spans="1:3" x14ac:dyDescent="0.2">
      <c r="B234" t="s">
        <v>174</v>
      </c>
      <c r="C234">
        <v>21962</v>
      </c>
    </row>
    <row r="235" spans="1:3" x14ac:dyDescent="0.2">
      <c r="A235" s="34" t="s">
        <v>74</v>
      </c>
      <c r="C235" s="3">
        <v>260223</v>
      </c>
    </row>
    <row r="236" spans="1:3" x14ac:dyDescent="0.2">
      <c r="A236" t="s">
        <v>18</v>
      </c>
      <c r="B236" t="s">
        <v>163</v>
      </c>
      <c r="C236">
        <v>22681</v>
      </c>
    </row>
    <row r="237" spans="1:3" x14ac:dyDescent="0.2">
      <c r="B237" t="s">
        <v>164</v>
      </c>
      <c r="C237">
        <v>13166</v>
      </c>
    </row>
    <row r="238" spans="1:3" x14ac:dyDescent="0.2">
      <c r="B238" t="s">
        <v>165</v>
      </c>
      <c r="C238">
        <v>13962</v>
      </c>
    </row>
    <row r="239" spans="1:3" x14ac:dyDescent="0.2">
      <c r="B239" t="s">
        <v>166</v>
      </c>
      <c r="C239">
        <v>14923</v>
      </c>
    </row>
    <row r="240" spans="1:3" x14ac:dyDescent="0.2">
      <c r="B240" t="s">
        <v>167</v>
      </c>
      <c r="C240">
        <v>19622</v>
      </c>
    </row>
    <row r="241" spans="1:3" x14ac:dyDescent="0.2">
      <c r="B241" t="s">
        <v>168</v>
      </c>
      <c r="C241">
        <v>14768</v>
      </c>
    </row>
    <row r="242" spans="1:3" x14ac:dyDescent="0.2">
      <c r="B242" t="s">
        <v>169</v>
      </c>
      <c r="C242">
        <v>11598</v>
      </c>
    </row>
    <row r="243" spans="1:3" x14ac:dyDescent="0.2">
      <c r="B243" t="s">
        <v>170</v>
      </c>
      <c r="C243">
        <v>7977</v>
      </c>
    </row>
    <row r="244" spans="1:3" x14ac:dyDescent="0.2">
      <c r="B244" t="s">
        <v>171</v>
      </c>
      <c r="C244">
        <v>11487</v>
      </c>
    </row>
    <row r="245" spans="1:3" x14ac:dyDescent="0.2">
      <c r="B245" t="s">
        <v>172</v>
      </c>
      <c r="C245">
        <v>9759</v>
      </c>
    </row>
    <row r="246" spans="1:3" x14ac:dyDescent="0.2">
      <c r="B246" t="s">
        <v>173</v>
      </c>
      <c r="C246">
        <v>7738</v>
      </c>
    </row>
    <row r="247" spans="1:3" x14ac:dyDescent="0.2">
      <c r="B247" t="s">
        <v>174</v>
      </c>
      <c r="C247">
        <v>14599</v>
      </c>
    </row>
    <row r="248" spans="1:3" x14ac:dyDescent="0.2">
      <c r="A248" s="34" t="s">
        <v>75</v>
      </c>
      <c r="C248" s="3">
        <v>162280</v>
      </c>
    </row>
    <row r="249" spans="1:3" x14ac:dyDescent="0.2">
      <c r="A249" t="s">
        <v>19</v>
      </c>
      <c r="B249" t="s">
        <v>163</v>
      </c>
      <c r="C249">
        <v>21239</v>
      </c>
    </row>
    <row r="250" spans="1:3" x14ac:dyDescent="0.2">
      <c r="B250" t="s">
        <v>164</v>
      </c>
      <c r="C250">
        <v>16156</v>
      </c>
    </row>
    <row r="251" spans="1:3" x14ac:dyDescent="0.2">
      <c r="B251" t="s">
        <v>165</v>
      </c>
      <c r="C251">
        <v>20433</v>
      </c>
    </row>
    <row r="252" spans="1:3" x14ac:dyDescent="0.2">
      <c r="B252" t="s">
        <v>166</v>
      </c>
      <c r="C252">
        <v>17369</v>
      </c>
    </row>
    <row r="253" spans="1:3" x14ac:dyDescent="0.2">
      <c r="B253" t="s">
        <v>167</v>
      </c>
      <c r="C253">
        <v>19337</v>
      </c>
    </row>
    <row r="254" spans="1:3" x14ac:dyDescent="0.2">
      <c r="B254" t="s">
        <v>168</v>
      </c>
      <c r="C254">
        <v>25050</v>
      </c>
    </row>
    <row r="255" spans="1:3" x14ac:dyDescent="0.2">
      <c r="B255" t="s">
        <v>169</v>
      </c>
      <c r="C255">
        <v>21796</v>
      </c>
    </row>
    <row r="256" spans="1:3" x14ac:dyDescent="0.2">
      <c r="B256" t="s">
        <v>170</v>
      </c>
      <c r="C256">
        <v>27736</v>
      </c>
    </row>
    <row r="257" spans="1:3" x14ac:dyDescent="0.2">
      <c r="B257" t="s">
        <v>171</v>
      </c>
      <c r="C257">
        <v>37974</v>
      </c>
    </row>
    <row r="258" spans="1:3" x14ac:dyDescent="0.2">
      <c r="B258" t="s">
        <v>172</v>
      </c>
      <c r="C258">
        <v>35627</v>
      </c>
    </row>
    <row r="259" spans="1:3" x14ac:dyDescent="0.2">
      <c r="B259" t="s">
        <v>173</v>
      </c>
      <c r="C259">
        <v>28507</v>
      </c>
    </row>
    <row r="260" spans="1:3" x14ac:dyDescent="0.2">
      <c r="B260" t="s">
        <v>174</v>
      </c>
      <c r="C260">
        <v>21439</v>
      </c>
    </row>
    <row r="261" spans="1:3" x14ac:dyDescent="0.2">
      <c r="A261" s="34" t="s">
        <v>76</v>
      </c>
      <c r="C261" s="3">
        <v>292663</v>
      </c>
    </row>
    <row r="262" spans="1:3" x14ac:dyDescent="0.2">
      <c r="A262" t="s">
        <v>20</v>
      </c>
      <c r="B262" t="s">
        <v>163</v>
      </c>
      <c r="C262">
        <v>16839</v>
      </c>
    </row>
    <row r="263" spans="1:3" x14ac:dyDescent="0.2">
      <c r="B263" t="s">
        <v>164</v>
      </c>
      <c r="C263">
        <v>14154</v>
      </c>
    </row>
    <row r="264" spans="1:3" x14ac:dyDescent="0.2">
      <c r="B264" t="s">
        <v>165</v>
      </c>
      <c r="C264">
        <v>13182</v>
      </c>
    </row>
    <row r="265" spans="1:3" x14ac:dyDescent="0.2">
      <c r="B265" t="s">
        <v>166</v>
      </c>
      <c r="C265">
        <v>11512</v>
      </c>
    </row>
    <row r="266" spans="1:3" x14ac:dyDescent="0.2">
      <c r="B266" t="s">
        <v>167</v>
      </c>
      <c r="C266">
        <v>14204</v>
      </c>
    </row>
    <row r="267" spans="1:3" x14ac:dyDescent="0.2">
      <c r="B267" t="s">
        <v>168</v>
      </c>
      <c r="C267">
        <v>19603</v>
      </c>
    </row>
    <row r="268" spans="1:3" x14ac:dyDescent="0.2">
      <c r="B268" t="s">
        <v>169</v>
      </c>
      <c r="C268">
        <v>19856</v>
      </c>
    </row>
    <row r="269" spans="1:3" x14ac:dyDescent="0.2">
      <c r="B269" t="s">
        <v>170</v>
      </c>
      <c r="C269">
        <v>25329</v>
      </c>
    </row>
    <row r="270" spans="1:3" x14ac:dyDescent="0.2">
      <c r="B270" t="s">
        <v>171</v>
      </c>
      <c r="C270">
        <v>33072</v>
      </c>
    </row>
    <row r="271" spans="1:3" x14ac:dyDescent="0.2">
      <c r="B271" t="s">
        <v>172</v>
      </c>
      <c r="C271">
        <v>36490</v>
      </c>
    </row>
    <row r="272" spans="1:3" x14ac:dyDescent="0.2">
      <c r="B272" t="s">
        <v>173</v>
      </c>
      <c r="C272">
        <v>21869</v>
      </c>
    </row>
    <row r="273" spans="1:3" x14ac:dyDescent="0.2">
      <c r="B273" t="s">
        <v>174</v>
      </c>
      <c r="C273">
        <v>19194</v>
      </c>
    </row>
    <row r="274" spans="1:3" x14ac:dyDescent="0.2">
      <c r="A274" s="34" t="s">
        <v>77</v>
      </c>
      <c r="C274" s="3">
        <v>245304</v>
      </c>
    </row>
    <row r="275" spans="1:3" x14ac:dyDescent="0.2">
      <c r="A275" t="s">
        <v>21</v>
      </c>
      <c r="B275" t="s">
        <v>163</v>
      </c>
      <c r="C275">
        <v>8976</v>
      </c>
    </row>
    <row r="276" spans="1:3" x14ac:dyDescent="0.2">
      <c r="B276" t="s">
        <v>164</v>
      </c>
      <c r="C276">
        <v>6340</v>
      </c>
    </row>
    <row r="277" spans="1:3" x14ac:dyDescent="0.2">
      <c r="B277" t="s">
        <v>165</v>
      </c>
      <c r="C277">
        <v>5438</v>
      </c>
    </row>
    <row r="278" spans="1:3" x14ac:dyDescent="0.2">
      <c r="B278" t="s">
        <v>166</v>
      </c>
      <c r="C278">
        <v>7846</v>
      </c>
    </row>
    <row r="279" spans="1:3" x14ac:dyDescent="0.2">
      <c r="B279" t="s">
        <v>167</v>
      </c>
      <c r="C279">
        <v>17944</v>
      </c>
    </row>
    <row r="280" spans="1:3" x14ac:dyDescent="0.2">
      <c r="B280" t="s">
        <v>168</v>
      </c>
      <c r="C280">
        <v>13551</v>
      </c>
    </row>
    <row r="281" spans="1:3" x14ac:dyDescent="0.2">
      <c r="B281" t="s">
        <v>169</v>
      </c>
      <c r="C281">
        <v>9451</v>
      </c>
    </row>
    <row r="282" spans="1:3" x14ac:dyDescent="0.2">
      <c r="B282" t="s">
        <v>170</v>
      </c>
      <c r="C282">
        <v>9015</v>
      </c>
    </row>
    <row r="283" spans="1:3" x14ac:dyDescent="0.2">
      <c r="B283" t="s">
        <v>171</v>
      </c>
      <c r="C283">
        <v>13030</v>
      </c>
    </row>
    <row r="284" spans="1:3" x14ac:dyDescent="0.2">
      <c r="B284" t="s">
        <v>172</v>
      </c>
      <c r="C284">
        <v>9840</v>
      </c>
    </row>
    <row r="285" spans="1:3" x14ac:dyDescent="0.2">
      <c r="B285" t="s">
        <v>173</v>
      </c>
      <c r="C285">
        <v>5523</v>
      </c>
    </row>
    <row r="286" spans="1:3" x14ac:dyDescent="0.2">
      <c r="B286" t="s">
        <v>174</v>
      </c>
      <c r="C286">
        <v>5278</v>
      </c>
    </row>
    <row r="287" spans="1:3" x14ac:dyDescent="0.2">
      <c r="A287" s="34" t="s">
        <v>78</v>
      </c>
      <c r="C287" s="3">
        <v>112232</v>
      </c>
    </row>
    <row r="288" spans="1:3" x14ac:dyDescent="0.2">
      <c r="A288" t="s">
        <v>22</v>
      </c>
      <c r="B288" t="s">
        <v>163</v>
      </c>
      <c r="C288">
        <v>28345</v>
      </c>
    </row>
    <row r="289" spans="1:3" x14ac:dyDescent="0.2">
      <c r="B289" t="s">
        <v>164</v>
      </c>
      <c r="C289">
        <v>16731</v>
      </c>
    </row>
    <row r="290" spans="1:3" x14ac:dyDescent="0.2">
      <c r="B290" t="s">
        <v>165</v>
      </c>
      <c r="C290">
        <v>24603</v>
      </c>
    </row>
    <row r="291" spans="1:3" x14ac:dyDescent="0.2">
      <c r="B291" t="s">
        <v>166</v>
      </c>
      <c r="C291">
        <v>24678</v>
      </c>
    </row>
    <row r="292" spans="1:3" x14ac:dyDescent="0.2">
      <c r="B292" t="s">
        <v>167</v>
      </c>
      <c r="C292">
        <v>35454</v>
      </c>
    </row>
    <row r="293" spans="1:3" x14ac:dyDescent="0.2">
      <c r="B293" t="s">
        <v>168</v>
      </c>
      <c r="C293">
        <v>33803</v>
      </c>
    </row>
    <row r="294" spans="1:3" x14ac:dyDescent="0.2">
      <c r="B294" t="s">
        <v>169</v>
      </c>
      <c r="C294">
        <v>21529</v>
      </c>
    </row>
    <row r="295" spans="1:3" x14ac:dyDescent="0.2">
      <c r="B295" t="s">
        <v>170</v>
      </c>
      <c r="C295">
        <v>15048</v>
      </c>
    </row>
    <row r="296" spans="1:3" x14ac:dyDescent="0.2">
      <c r="B296" t="s">
        <v>171</v>
      </c>
      <c r="C296">
        <v>16854</v>
      </c>
    </row>
    <row r="297" spans="1:3" x14ac:dyDescent="0.2">
      <c r="B297" t="s">
        <v>172</v>
      </c>
      <c r="C297">
        <v>21574</v>
      </c>
    </row>
    <row r="298" spans="1:3" x14ac:dyDescent="0.2">
      <c r="B298" t="s">
        <v>173</v>
      </c>
      <c r="C298">
        <v>17072</v>
      </c>
    </row>
    <row r="299" spans="1:3" x14ac:dyDescent="0.2">
      <c r="B299" t="s">
        <v>174</v>
      </c>
      <c r="C299">
        <v>20719</v>
      </c>
    </row>
    <row r="300" spans="1:3" x14ac:dyDescent="0.2">
      <c r="A300" s="34" t="s">
        <v>79</v>
      </c>
      <c r="C300" s="3">
        <v>276410</v>
      </c>
    </row>
    <row r="301" spans="1:3" x14ac:dyDescent="0.2">
      <c r="A301" t="s">
        <v>23</v>
      </c>
      <c r="B301" t="s">
        <v>163</v>
      </c>
      <c r="C301">
        <v>24724</v>
      </c>
    </row>
    <row r="302" spans="1:3" x14ac:dyDescent="0.2">
      <c r="B302" t="s">
        <v>164</v>
      </c>
      <c r="C302">
        <v>14874</v>
      </c>
    </row>
    <row r="303" spans="1:3" x14ac:dyDescent="0.2">
      <c r="B303" t="s">
        <v>165</v>
      </c>
      <c r="C303">
        <v>16837</v>
      </c>
    </row>
    <row r="304" spans="1:3" x14ac:dyDescent="0.2">
      <c r="B304" t="s">
        <v>166</v>
      </c>
      <c r="C304">
        <v>9428</v>
      </c>
    </row>
    <row r="305" spans="1:3" x14ac:dyDescent="0.2">
      <c r="B305" t="s">
        <v>167</v>
      </c>
      <c r="C305">
        <v>10915</v>
      </c>
    </row>
    <row r="306" spans="1:3" x14ac:dyDescent="0.2">
      <c r="B306" t="s">
        <v>168</v>
      </c>
      <c r="C306">
        <v>10213</v>
      </c>
    </row>
    <row r="307" spans="1:3" x14ac:dyDescent="0.2">
      <c r="B307" t="s">
        <v>169</v>
      </c>
      <c r="C307">
        <v>7160</v>
      </c>
    </row>
    <row r="308" spans="1:3" x14ac:dyDescent="0.2">
      <c r="B308" t="s">
        <v>170</v>
      </c>
      <c r="C308">
        <v>5924</v>
      </c>
    </row>
    <row r="309" spans="1:3" x14ac:dyDescent="0.2">
      <c r="B309" t="s">
        <v>171</v>
      </c>
      <c r="C309">
        <v>12703</v>
      </c>
    </row>
    <row r="310" spans="1:3" x14ac:dyDescent="0.2">
      <c r="B310" t="s">
        <v>172</v>
      </c>
      <c r="C310">
        <v>18444</v>
      </c>
    </row>
    <row r="311" spans="1:3" x14ac:dyDescent="0.2">
      <c r="B311" t="s">
        <v>173</v>
      </c>
      <c r="C311">
        <v>21500</v>
      </c>
    </row>
    <row r="312" spans="1:3" x14ac:dyDescent="0.2">
      <c r="B312" t="s">
        <v>174</v>
      </c>
      <c r="C312">
        <v>31629</v>
      </c>
    </row>
    <row r="313" spans="1:3" x14ac:dyDescent="0.2">
      <c r="A313" s="34" t="s">
        <v>80</v>
      </c>
      <c r="C313" s="3">
        <v>184351</v>
      </c>
    </row>
    <row r="314" spans="1:3" x14ac:dyDescent="0.2">
      <c r="A314" t="s">
        <v>24</v>
      </c>
      <c r="B314" t="s">
        <v>163</v>
      </c>
      <c r="C314">
        <v>16915</v>
      </c>
    </row>
    <row r="315" spans="1:3" x14ac:dyDescent="0.2">
      <c r="B315" t="s">
        <v>164</v>
      </c>
      <c r="C315">
        <v>14626</v>
      </c>
    </row>
    <row r="316" spans="1:3" x14ac:dyDescent="0.2">
      <c r="B316" t="s">
        <v>165</v>
      </c>
      <c r="C316">
        <v>10984</v>
      </c>
    </row>
    <row r="317" spans="1:3" x14ac:dyDescent="0.2">
      <c r="B317" t="s">
        <v>166</v>
      </c>
      <c r="C317">
        <v>10114</v>
      </c>
    </row>
    <row r="318" spans="1:3" x14ac:dyDescent="0.2">
      <c r="B318" t="s">
        <v>167</v>
      </c>
      <c r="C318">
        <v>17687</v>
      </c>
    </row>
    <row r="319" spans="1:3" x14ac:dyDescent="0.2">
      <c r="B319" t="s">
        <v>168</v>
      </c>
      <c r="C319">
        <v>19289</v>
      </c>
    </row>
    <row r="320" spans="1:3" x14ac:dyDescent="0.2">
      <c r="B320" t="s">
        <v>169</v>
      </c>
      <c r="C320">
        <v>13403</v>
      </c>
    </row>
    <row r="321" spans="1:3" x14ac:dyDescent="0.2">
      <c r="B321" t="s">
        <v>170</v>
      </c>
      <c r="C321">
        <v>10502</v>
      </c>
    </row>
    <row r="322" spans="1:3" x14ac:dyDescent="0.2">
      <c r="B322" t="s">
        <v>171</v>
      </c>
      <c r="C322">
        <v>14428</v>
      </c>
    </row>
    <row r="323" spans="1:3" x14ac:dyDescent="0.2">
      <c r="B323" t="s">
        <v>172</v>
      </c>
      <c r="C323">
        <v>15499</v>
      </c>
    </row>
    <row r="324" spans="1:3" x14ac:dyDescent="0.2">
      <c r="B324" t="s">
        <v>173</v>
      </c>
      <c r="C324">
        <v>10532</v>
      </c>
    </row>
    <row r="325" spans="1:3" x14ac:dyDescent="0.2">
      <c r="B325" t="s">
        <v>174</v>
      </c>
      <c r="C325">
        <v>10918</v>
      </c>
    </row>
    <row r="326" spans="1:3" x14ac:dyDescent="0.2">
      <c r="A326" s="34" t="s">
        <v>81</v>
      </c>
      <c r="C326" s="3">
        <v>164897</v>
      </c>
    </row>
    <row r="327" spans="1:3" x14ac:dyDescent="0.2">
      <c r="A327" t="s">
        <v>25</v>
      </c>
      <c r="B327" t="s">
        <v>163</v>
      </c>
      <c r="C327">
        <v>5764</v>
      </c>
    </row>
    <row r="328" spans="1:3" x14ac:dyDescent="0.2">
      <c r="B328" t="s">
        <v>164</v>
      </c>
      <c r="C328">
        <v>3038</v>
      </c>
    </row>
    <row r="329" spans="1:3" x14ac:dyDescent="0.2">
      <c r="B329" t="s">
        <v>165</v>
      </c>
      <c r="C329">
        <v>4363</v>
      </c>
    </row>
    <row r="330" spans="1:3" x14ac:dyDescent="0.2">
      <c r="B330" t="s">
        <v>166</v>
      </c>
      <c r="C330">
        <v>3181</v>
      </c>
    </row>
    <row r="331" spans="1:3" x14ac:dyDescent="0.2">
      <c r="B331" t="s">
        <v>167</v>
      </c>
      <c r="C331">
        <v>3739</v>
      </c>
    </row>
    <row r="332" spans="1:3" x14ac:dyDescent="0.2">
      <c r="B332" t="s">
        <v>168</v>
      </c>
      <c r="C332">
        <v>3287</v>
      </c>
    </row>
    <row r="333" spans="1:3" x14ac:dyDescent="0.2">
      <c r="B333" t="s">
        <v>169</v>
      </c>
      <c r="C333">
        <v>1821</v>
      </c>
    </row>
    <row r="334" spans="1:3" x14ac:dyDescent="0.2">
      <c r="B334" t="s">
        <v>170</v>
      </c>
      <c r="C334">
        <v>1639</v>
      </c>
    </row>
    <row r="335" spans="1:3" x14ac:dyDescent="0.2">
      <c r="B335" t="s">
        <v>171</v>
      </c>
      <c r="C335">
        <v>1640</v>
      </c>
    </row>
    <row r="336" spans="1:3" x14ac:dyDescent="0.2">
      <c r="B336" t="s">
        <v>172</v>
      </c>
      <c r="C336">
        <v>1607</v>
      </c>
    </row>
    <row r="337" spans="1:3" x14ac:dyDescent="0.2">
      <c r="B337" t="s">
        <v>173</v>
      </c>
      <c r="C337">
        <v>1615</v>
      </c>
    </row>
    <row r="338" spans="1:3" x14ac:dyDescent="0.2">
      <c r="B338" t="s">
        <v>174</v>
      </c>
      <c r="C338">
        <v>3739</v>
      </c>
    </row>
    <row r="339" spans="1:3" x14ac:dyDescent="0.2">
      <c r="A339" s="34" t="s">
        <v>82</v>
      </c>
      <c r="C339" s="3">
        <v>35433</v>
      </c>
    </row>
    <row r="340" spans="1:3" x14ac:dyDescent="0.2">
      <c r="A340" t="s">
        <v>26</v>
      </c>
      <c r="B340" t="s">
        <v>163</v>
      </c>
      <c r="C340">
        <v>45244</v>
      </c>
    </row>
    <row r="341" spans="1:3" x14ac:dyDescent="0.2">
      <c r="B341" t="s">
        <v>164</v>
      </c>
      <c r="C341">
        <v>47468</v>
      </c>
    </row>
    <row r="342" spans="1:3" x14ac:dyDescent="0.2">
      <c r="B342" t="s">
        <v>165</v>
      </c>
      <c r="C342">
        <v>54330</v>
      </c>
    </row>
    <row r="343" spans="1:3" x14ac:dyDescent="0.2">
      <c r="B343" t="s">
        <v>166</v>
      </c>
      <c r="C343">
        <v>45741</v>
      </c>
    </row>
    <row r="344" spans="1:3" x14ac:dyDescent="0.2">
      <c r="B344" t="s">
        <v>167</v>
      </c>
      <c r="C344">
        <v>51963</v>
      </c>
    </row>
    <row r="345" spans="1:3" x14ac:dyDescent="0.2">
      <c r="B345" t="s">
        <v>168</v>
      </c>
      <c r="C345">
        <v>50755</v>
      </c>
    </row>
    <row r="346" spans="1:3" x14ac:dyDescent="0.2">
      <c r="B346" t="s">
        <v>169</v>
      </c>
      <c r="C346">
        <v>37253</v>
      </c>
    </row>
    <row r="347" spans="1:3" x14ac:dyDescent="0.2">
      <c r="B347" t="s">
        <v>170</v>
      </c>
      <c r="C347">
        <v>34006</v>
      </c>
    </row>
    <row r="348" spans="1:3" x14ac:dyDescent="0.2">
      <c r="B348" t="s">
        <v>171</v>
      </c>
      <c r="C348">
        <v>51396</v>
      </c>
    </row>
    <row r="349" spans="1:3" x14ac:dyDescent="0.2">
      <c r="B349" t="s">
        <v>172</v>
      </c>
      <c r="C349">
        <v>36558</v>
      </c>
    </row>
    <row r="350" spans="1:3" x14ac:dyDescent="0.2">
      <c r="B350" t="s">
        <v>173</v>
      </c>
      <c r="C350">
        <v>18119</v>
      </c>
    </row>
    <row r="351" spans="1:3" x14ac:dyDescent="0.2">
      <c r="B351" t="s">
        <v>174</v>
      </c>
      <c r="C351">
        <v>13646</v>
      </c>
    </row>
    <row r="352" spans="1:3" x14ac:dyDescent="0.2">
      <c r="A352" s="34" t="s">
        <v>83</v>
      </c>
      <c r="C352" s="3">
        <v>486479</v>
      </c>
    </row>
    <row r="353" spans="1:3" x14ac:dyDescent="0.2">
      <c r="A353" t="s">
        <v>27</v>
      </c>
      <c r="B353" t="s">
        <v>163</v>
      </c>
      <c r="C353">
        <v>17352</v>
      </c>
    </row>
    <row r="354" spans="1:3" x14ac:dyDescent="0.2">
      <c r="B354" t="s">
        <v>164</v>
      </c>
      <c r="C354">
        <v>12059</v>
      </c>
    </row>
    <row r="355" spans="1:3" x14ac:dyDescent="0.2">
      <c r="B355" t="s">
        <v>165</v>
      </c>
      <c r="C355">
        <v>8159</v>
      </c>
    </row>
    <row r="356" spans="1:3" x14ac:dyDescent="0.2">
      <c r="B356" t="s">
        <v>166</v>
      </c>
      <c r="C356">
        <v>5900</v>
      </c>
    </row>
    <row r="357" spans="1:3" x14ac:dyDescent="0.2">
      <c r="B357" t="s">
        <v>167</v>
      </c>
      <c r="C357">
        <v>10618</v>
      </c>
    </row>
    <row r="358" spans="1:3" x14ac:dyDescent="0.2">
      <c r="B358" t="s">
        <v>168</v>
      </c>
      <c r="C358">
        <v>9094</v>
      </c>
    </row>
    <row r="359" spans="1:3" x14ac:dyDescent="0.2">
      <c r="B359" t="s">
        <v>169</v>
      </c>
      <c r="C359">
        <v>7006</v>
      </c>
    </row>
    <row r="360" spans="1:3" x14ac:dyDescent="0.2">
      <c r="B360" t="s">
        <v>170</v>
      </c>
      <c r="C360">
        <v>7021</v>
      </c>
    </row>
    <row r="361" spans="1:3" x14ac:dyDescent="0.2">
      <c r="B361" t="s">
        <v>171</v>
      </c>
      <c r="C361">
        <v>10809</v>
      </c>
    </row>
    <row r="362" spans="1:3" x14ac:dyDescent="0.2">
      <c r="B362" t="s">
        <v>172</v>
      </c>
      <c r="C362">
        <v>8498</v>
      </c>
    </row>
    <row r="363" spans="1:3" x14ac:dyDescent="0.2">
      <c r="B363" t="s">
        <v>173</v>
      </c>
      <c r="C363">
        <v>8953</v>
      </c>
    </row>
    <row r="364" spans="1:3" x14ac:dyDescent="0.2">
      <c r="B364" t="s">
        <v>174</v>
      </c>
      <c r="C364">
        <v>11026</v>
      </c>
    </row>
    <row r="365" spans="1:3" x14ac:dyDescent="0.2">
      <c r="A365" s="34" t="s">
        <v>84</v>
      </c>
      <c r="C365" s="3">
        <v>116495</v>
      </c>
    </row>
    <row r="366" spans="1:3" x14ac:dyDescent="0.2">
      <c r="A366" t="s">
        <v>28</v>
      </c>
      <c r="B366" t="s">
        <v>163</v>
      </c>
      <c r="C366">
        <v>34435</v>
      </c>
    </row>
    <row r="367" spans="1:3" x14ac:dyDescent="0.2">
      <c r="B367" t="s">
        <v>164</v>
      </c>
      <c r="C367">
        <v>24416</v>
      </c>
    </row>
    <row r="368" spans="1:3" x14ac:dyDescent="0.2">
      <c r="B368" t="s">
        <v>165</v>
      </c>
      <c r="C368">
        <v>24249</v>
      </c>
    </row>
    <row r="369" spans="1:3" x14ac:dyDescent="0.2">
      <c r="B369" t="s">
        <v>166</v>
      </c>
      <c r="C369">
        <v>21824</v>
      </c>
    </row>
    <row r="370" spans="1:3" x14ac:dyDescent="0.2">
      <c r="B370" t="s">
        <v>167</v>
      </c>
      <c r="C370">
        <v>27772</v>
      </c>
    </row>
    <row r="371" spans="1:3" x14ac:dyDescent="0.2">
      <c r="B371" t="s">
        <v>168</v>
      </c>
      <c r="C371">
        <v>27688</v>
      </c>
    </row>
    <row r="372" spans="1:3" x14ac:dyDescent="0.2">
      <c r="B372" t="s">
        <v>169</v>
      </c>
      <c r="C372">
        <v>22543</v>
      </c>
    </row>
    <row r="373" spans="1:3" x14ac:dyDescent="0.2">
      <c r="B373" t="s">
        <v>170</v>
      </c>
      <c r="C373">
        <v>21468</v>
      </c>
    </row>
    <row r="374" spans="1:3" x14ac:dyDescent="0.2">
      <c r="B374" t="s">
        <v>171</v>
      </c>
      <c r="C374">
        <v>30070</v>
      </c>
    </row>
    <row r="375" spans="1:3" x14ac:dyDescent="0.2">
      <c r="B375" t="s">
        <v>172</v>
      </c>
      <c r="C375">
        <v>35992</v>
      </c>
    </row>
    <row r="376" spans="1:3" x14ac:dyDescent="0.2">
      <c r="B376" t="s">
        <v>173</v>
      </c>
      <c r="C376">
        <v>30821</v>
      </c>
    </row>
    <row r="377" spans="1:3" x14ac:dyDescent="0.2">
      <c r="B377" t="s">
        <v>174</v>
      </c>
      <c r="C377">
        <v>32623</v>
      </c>
    </row>
    <row r="378" spans="1:3" x14ac:dyDescent="0.2">
      <c r="A378" s="34" t="s">
        <v>85</v>
      </c>
      <c r="C378" s="3">
        <v>333901</v>
      </c>
    </row>
    <row r="379" spans="1:3" x14ac:dyDescent="0.2">
      <c r="C379" s="3"/>
    </row>
  </sheetData>
  <autoFilter ref="A1:C379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78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31.33203125" bestFit="1" customWidth="1"/>
    <col min="2" max="2" width="13.83203125" bestFit="1" customWidth="1"/>
    <col min="3" max="3" width="13.83203125" customWidth="1"/>
  </cols>
  <sheetData>
    <row r="1" spans="1:3" x14ac:dyDescent="0.2">
      <c r="A1" s="3" t="s">
        <v>30</v>
      </c>
      <c r="B1" s="3" t="s">
        <v>43</v>
      </c>
      <c r="C1" s="3" t="s">
        <v>200</v>
      </c>
    </row>
    <row r="2" spans="1:3" x14ac:dyDescent="0.2">
      <c r="A2" t="s">
        <v>0</v>
      </c>
      <c r="B2" t="s">
        <v>175</v>
      </c>
      <c r="C2">
        <v>10559</v>
      </c>
    </row>
    <row r="3" spans="1:3" x14ac:dyDescent="0.2">
      <c r="B3" t="s">
        <v>176</v>
      </c>
      <c r="C3">
        <v>14291</v>
      </c>
    </row>
    <row r="4" spans="1:3" x14ac:dyDescent="0.2">
      <c r="B4" t="s">
        <v>177</v>
      </c>
      <c r="C4">
        <v>17277</v>
      </c>
    </row>
    <row r="5" spans="1:3" x14ac:dyDescent="0.2">
      <c r="B5" t="s">
        <v>178</v>
      </c>
      <c r="C5">
        <v>24200</v>
      </c>
    </row>
    <row r="6" spans="1:3" x14ac:dyDescent="0.2">
      <c r="B6" t="s">
        <v>179</v>
      </c>
      <c r="C6">
        <v>27173</v>
      </c>
    </row>
    <row r="7" spans="1:3" x14ac:dyDescent="0.2">
      <c r="B7" t="s">
        <v>180</v>
      </c>
      <c r="C7">
        <v>13338</v>
      </c>
    </row>
    <row r="8" spans="1:3" x14ac:dyDescent="0.2">
      <c r="B8" t="s">
        <v>181</v>
      </c>
      <c r="C8">
        <v>11174</v>
      </c>
    </row>
    <row r="9" spans="1:3" x14ac:dyDescent="0.2">
      <c r="B9" t="s">
        <v>182</v>
      </c>
      <c r="C9">
        <v>9489</v>
      </c>
    </row>
    <row r="10" spans="1:3" x14ac:dyDescent="0.2">
      <c r="B10" t="s">
        <v>183</v>
      </c>
      <c r="C10">
        <v>8032</v>
      </c>
    </row>
    <row r="11" spans="1:3" x14ac:dyDescent="0.2">
      <c r="B11" t="s">
        <v>197</v>
      </c>
      <c r="C11">
        <v>6456</v>
      </c>
    </row>
    <row r="12" spans="1:3" x14ac:dyDescent="0.2">
      <c r="B12" t="s">
        <v>198</v>
      </c>
      <c r="C12">
        <v>5064</v>
      </c>
    </row>
    <row r="13" spans="1:3" x14ac:dyDescent="0.2">
      <c r="B13" t="s">
        <v>199</v>
      </c>
      <c r="C13">
        <v>7469</v>
      </c>
    </row>
    <row r="14" spans="1:3" x14ac:dyDescent="0.2">
      <c r="A14" t="s">
        <v>57</v>
      </c>
      <c r="C14">
        <v>154522</v>
      </c>
    </row>
    <row r="15" spans="1:3" x14ac:dyDescent="0.2">
      <c r="A15" t="s">
        <v>1</v>
      </c>
      <c r="B15" t="s">
        <v>175</v>
      </c>
      <c r="C15">
        <v>57414</v>
      </c>
    </row>
    <row r="16" spans="1:3" x14ac:dyDescent="0.2">
      <c r="B16" t="s">
        <v>176</v>
      </c>
      <c r="C16">
        <v>46228</v>
      </c>
    </row>
    <row r="17" spans="1:3" x14ac:dyDescent="0.2">
      <c r="B17" t="s">
        <v>177</v>
      </c>
      <c r="C17">
        <v>56267</v>
      </c>
    </row>
    <row r="18" spans="1:3" x14ac:dyDescent="0.2">
      <c r="B18" t="s">
        <v>178</v>
      </c>
      <c r="C18">
        <v>72727</v>
      </c>
    </row>
    <row r="19" spans="1:3" x14ac:dyDescent="0.2">
      <c r="B19" t="s">
        <v>179</v>
      </c>
      <c r="C19">
        <v>57945</v>
      </c>
    </row>
    <row r="20" spans="1:3" x14ac:dyDescent="0.2">
      <c r="B20" t="s">
        <v>180</v>
      </c>
      <c r="C20">
        <v>39791</v>
      </c>
    </row>
    <row r="21" spans="1:3" x14ac:dyDescent="0.2">
      <c r="B21" t="s">
        <v>181</v>
      </c>
      <c r="C21">
        <v>36873</v>
      </c>
    </row>
    <row r="22" spans="1:3" x14ac:dyDescent="0.2">
      <c r="B22" t="s">
        <v>182</v>
      </c>
      <c r="C22">
        <v>35686</v>
      </c>
    </row>
    <row r="23" spans="1:3" x14ac:dyDescent="0.2">
      <c r="B23" t="s">
        <v>183</v>
      </c>
      <c r="C23">
        <v>34680</v>
      </c>
    </row>
    <row r="24" spans="1:3" x14ac:dyDescent="0.2">
      <c r="B24" t="s">
        <v>197</v>
      </c>
      <c r="C24">
        <v>23580</v>
      </c>
    </row>
    <row r="25" spans="1:3" x14ac:dyDescent="0.2">
      <c r="B25" t="s">
        <v>198</v>
      </c>
      <c r="C25">
        <v>26732</v>
      </c>
    </row>
    <row r="26" spans="1:3" x14ac:dyDescent="0.2">
      <c r="B26" t="s">
        <v>199</v>
      </c>
      <c r="C26">
        <v>35813</v>
      </c>
    </row>
    <row r="27" spans="1:3" x14ac:dyDescent="0.2">
      <c r="A27" t="s">
        <v>58</v>
      </c>
      <c r="C27">
        <v>523736</v>
      </c>
    </row>
    <row r="28" spans="1:3" x14ac:dyDescent="0.2">
      <c r="A28" t="s">
        <v>2</v>
      </c>
      <c r="B28" t="s">
        <v>175</v>
      </c>
      <c r="C28">
        <v>14639</v>
      </c>
    </row>
    <row r="29" spans="1:3" x14ac:dyDescent="0.2">
      <c r="B29" t="s">
        <v>176</v>
      </c>
      <c r="C29">
        <v>22946</v>
      </c>
    </row>
    <row r="30" spans="1:3" x14ac:dyDescent="0.2">
      <c r="B30" t="s">
        <v>177</v>
      </c>
      <c r="C30">
        <v>14571</v>
      </c>
    </row>
    <row r="31" spans="1:3" x14ac:dyDescent="0.2">
      <c r="B31" t="s">
        <v>178</v>
      </c>
      <c r="C31">
        <v>21575</v>
      </c>
    </row>
    <row r="32" spans="1:3" x14ac:dyDescent="0.2">
      <c r="B32" t="s">
        <v>179</v>
      </c>
      <c r="C32">
        <v>29043</v>
      </c>
    </row>
    <row r="33" spans="1:3" x14ac:dyDescent="0.2">
      <c r="B33" t="s">
        <v>180</v>
      </c>
      <c r="C33">
        <v>18878</v>
      </c>
    </row>
    <row r="34" spans="1:3" x14ac:dyDescent="0.2">
      <c r="B34" t="s">
        <v>181</v>
      </c>
      <c r="C34">
        <v>18723</v>
      </c>
    </row>
    <row r="35" spans="1:3" x14ac:dyDescent="0.2">
      <c r="B35" t="s">
        <v>182</v>
      </c>
      <c r="C35">
        <v>25230</v>
      </c>
    </row>
    <row r="36" spans="1:3" x14ac:dyDescent="0.2">
      <c r="B36" t="s">
        <v>183</v>
      </c>
      <c r="C36">
        <v>18362</v>
      </c>
    </row>
    <row r="37" spans="1:3" x14ac:dyDescent="0.2">
      <c r="B37" t="s">
        <v>197</v>
      </c>
      <c r="C37">
        <v>6602</v>
      </c>
    </row>
    <row r="38" spans="1:3" x14ac:dyDescent="0.2">
      <c r="B38" t="s">
        <v>198</v>
      </c>
      <c r="C38">
        <v>10298</v>
      </c>
    </row>
    <row r="39" spans="1:3" x14ac:dyDescent="0.2">
      <c r="B39" t="s">
        <v>199</v>
      </c>
      <c r="C39">
        <v>9987</v>
      </c>
    </row>
    <row r="40" spans="1:3" x14ac:dyDescent="0.2">
      <c r="A40" t="s">
        <v>59</v>
      </c>
      <c r="C40">
        <v>210854</v>
      </c>
    </row>
    <row r="41" spans="1:3" x14ac:dyDescent="0.2">
      <c r="A41" t="s">
        <v>3</v>
      </c>
      <c r="B41" t="s">
        <v>175</v>
      </c>
      <c r="C41">
        <v>17883</v>
      </c>
    </row>
    <row r="42" spans="1:3" x14ac:dyDescent="0.2">
      <c r="B42" t="s">
        <v>176</v>
      </c>
      <c r="C42">
        <v>12038</v>
      </c>
    </row>
    <row r="43" spans="1:3" x14ac:dyDescent="0.2">
      <c r="B43" t="s">
        <v>177</v>
      </c>
      <c r="C43">
        <v>15394</v>
      </c>
    </row>
    <row r="44" spans="1:3" x14ac:dyDescent="0.2">
      <c r="B44" t="s">
        <v>178</v>
      </c>
      <c r="C44">
        <v>17216</v>
      </c>
    </row>
    <row r="45" spans="1:3" x14ac:dyDescent="0.2">
      <c r="B45" t="s">
        <v>179</v>
      </c>
      <c r="C45">
        <v>28875</v>
      </c>
    </row>
    <row r="46" spans="1:3" x14ac:dyDescent="0.2">
      <c r="B46" t="s">
        <v>180</v>
      </c>
      <c r="C46">
        <v>10478</v>
      </c>
    </row>
    <row r="47" spans="1:3" x14ac:dyDescent="0.2">
      <c r="B47" t="s">
        <v>181</v>
      </c>
      <c r="C47">
        <v>5227</v>
      </c>
    </row>
    <row r="48" spans="1:3" x14ac:dyDescent="0.2">
      <c r="B48" t="s">
        <v>182</v>
      </c>
      <c r="C48">
        <v>6075</v>
      </c>
    </row>
    <row r="49" spans="1:3" x14ac:dyDescent="0.2">
      <c r="B49" t="s">
        <v>183</v>
      </c>
      <c r="C49">
        <v>4744</v>
      </c>
    </row>
    <row r="50" spans="1:3" x14ac:dyDescent="0.2">
      <c r="B50" t="s">
        <v>197</v>
      </c>
      <c r="C50">
        <v>4557</v>
      </c>
    </row>
    <row r="51" spans="1:3" x14ac:dyDescent="0.2">
      <c r="B51" t="s">
        <v>198</v>
      </c>
      <c r="C51">
        <v>3466</v>
      </c>
    </row>
    <row r="52" spans="1:3" x14ac:dyDescent="0.2">
      <c r="B52" t="s">
        <v>199</v>
      </c>
      <c r="C52">
        <v>7042</v>
      </c>
    </row>
    <row r="53" spans="1:3" x14ac:dyDescent="0.2">
      <c r="A53" t="s">
        <v>60</v>
      </c>
      <c r="C53">
        <v>132995</v>
      </c>
    </row>
    <row r="54" spans="1:3" x14ac:dyDescent="0.2">
      <c r="A54" t="s">
        <v>4</v>
      </c>
      <c r="B54" t="s">
        <v>175</v>
      </c>
      <c r="C54">
        <v>11841</v>
      </c>
    </row>
    <row r="55" spans="1:3" x14ac:dyDescent="0.2">
      <c r="B55" t="s">
        <v>176</v>
      </c>
      <c r="C55">
        <v>6433</v>
      </c>
    </row>
    <row r="56" spans="1:3" x14ac:dyDescent="0.2">
      <c r="B56" t="s">
        <v>177</v>
      </c>
      <c r="C56">
        <v>8978</v>
      </c>
    </row>
    <row r="57" spans="1:3" x14ac:dyDescent="0.2">
      <c r="B57" t="s">
        <v>178</v>
      </c>
      <c r="C57">
        <v>12106</v>
      </c>
    </row>
    <row r="58" spans="1:3" x14ac:dyDescent="0.2">
      <c r="B58" t="s">
        <v>179</v>
      </c>
      <c r="C58">
        <v>11705</v>
      </c>
    </row>
    <row r="59" spans="1:3" x14ac:dyDescent="0.2">
      <c r="B59" t="s">
        <v>180</v>
      </c>
      <c r="C59">
        <v>6425</v>
      </c>
    </row>
    <row r="60" spans="1:3" x14ac:dyDescent="0.2">
      <c r="B60" t="s">
        <v>181</v>
      </c>
      <c r="C60">
        <v>5183</v>
      </c>
    </row>
    <row r="61" spans="1:3" x14ac:dyDescent="0.2">
      <c r="B61" t="s">
        <v>182</v>
      </c>
      <c r="C61">
        <v>3432</v>
      </c>
    </row>
    <row r="62" spans="1:3" x14ac:dyDescent="0.2">
      <c r="B62" t="s">
        <v>183</v>
      </c>
      <c r="C62">
        <v>3377</v>
      </c>
    </row>
    <row r="63" spans="1:3" x14ac:dyDescent="0.2">
      <c r="B63" t="s">
        <v>197</v>
      </c>
      <c r="C63">
        <v>4275</v>
      </c>
    </row>
    <row r="64" spans="1:3" x14ac:dyDescent="0.2">
      <c r="B64" t="s">
        <v>198</v>
      </c>
      <c r="C64">
        <v>5486</v>
      </c>
    </row>
    <row r="65" spans="1:3" x14ac:dyDescent="0.2">
      <c r="B65" t="s">
        <v>199</v>
      </c>
      <c r="C65">
        <v>8851</v>
      </c>
    </row>
    <row r="66" spans="1:3" x14ac:dyDescent="0.2">
      <c r="A66" t="s">
        <v>61</v>
      </c>
      <c r="C66">
        <v>88092</v>
      </c>
    </row>
    <row r="67" spans="1:3" x14ac:dyDescent="0.2">
      <c r="A67" t="s">
        <v>5</v>
      </c>
      <c r="B67" t="s">
        <v>175</v>
      </c>
      <c r="C67">
        <v>41376</v>
      </c>
    </row>
    <row r="68" spans="1:3" x14ac:dyDescent="0.2">
      <c r="B68" t="s">
        <v>176</v>
      </c>
      <c r="C68">
        <v>33583</v>
      </c>
    </row>
    <row r="69" spans="1:3" x14ac:dyDescent="0.2">
      <c r="B69" t="s">
        <v>177</v>
      </c>
      <c r="C69">
        <v>42125</v>
      </c>
    </row>
    <row r="70" spans="1:3" x14ac:dyDescent="0.2">
      <c r="B70" t="s">
        <v>178</v>
      </c>
      <c r="C70">
        <v>32877</v>
      </c>
    </row>
    <row r="71" spans="1:3" x14ac:dyDescent="0.2">
      <c r="B71" t="s">
        <v>179</v>
      </c>
      <c r="C71">
        <v>36232</v>
      </c>
    </row>
    <row r="72" spans="1:3" x14ac:dyDescent="0.2">
      <c r="B72" t="s">
        <v>180</v>
      </c>
      <c r="C72">
        <v>20659</v>
      </c>
    </row>
    <row r="73" spans="1:3" x14ac:dyDescent="0.2">
      <c r="B73" t="s">
        <v>181</v>
      </c>
      <c r="C73">
        <v>12791</v>
      </c>
    </row>
    <row r="74" spans="1:3" x14ac:dyDescent="0.2">
      <c r="B74" t="s">
        <v>182</v>
      </c>
      <c r="C74">
        <v>9409</v>
      </c>
    </row>
    <row r="75" spans="1:3" x14ac:dyDescent="0.2">
      <c r="B75" t="s">
        <v>183</v>
      </c>
      <c r="C75">
        <v>10019</v>
      </c>
    </row>
    <row r="76" spans="1:3" x14ac:dyDescent="0.2">
      <c r="B76" t="s">
        <v>197</v>
      </c>
      <c r="C76">
        <v>13235</v>
      </c>
    </row>
    <row r="77" spans="1:3" x14ac:dyDescent="0.2">
      <c r="B77" t="s">
        <v>198</v>
      </c>
      <c r="C77">
        <v>14646</v>
      </c>
    </row>
    <row r="78" spans="1:3" x14ac:dyDescent="0.2">
      <c r="B78" t="s">
        <v>199</v>
      </c>
      <c r="C78">
        <v>24060</v>
      </c>
    </row>
    <row r="79" spans="1:3" x14ac:dyDescent="0.2">
      <c r="A79" t="s">
        <v>62</v>
      </c>
      <c r="C79">
        <v>291012</v>
      </c>
    </row>
    <row r="80" spans="1:3" x14ac:dyDescent="0.2">
      <c r="A80" t="s">
        <v>6</v>
      </c>
      <c r="B80" t="s">
        <v>175</v>
      </c>
      <c r="C80">
        <v>47856</v>
      </c>
    </row>
    <row r="81" spans="1:3" x14ac:dyDescent="0.2">
      <c r="B81" t="s">
        <v>176</v>
      </c>
      <c r="C81">
        <v>25619</v>
      </c>
    </row>
    <row r="82" spans="1:3" x14ac:dyDescent="0.2">
      <c r="B82" t="s">
        <v>177</v>
      </c>
      <c r="C82">
        <v>28692</v>
      </c>
    </row>
    <row r="83" spans="1:3" x14ac:dyDescent="0.2">
      <c r="B83" t="s">
        <v>178</v>
      </c>
      <c r="C83">
        <v>38761</v>
      </c>
    </row>
    <row r="84" spans="1:3" x14ac:dyDescent="0.2">
      <c r="B84" t="s">
        <v>179</v>
      </c>
      <c r="C84">
        <v>43200</v>
      </c>
    </row>
    <row r="85" spans="1:3" x14ac:dyDescent="0.2">
      <c r="B85" t="s">
        <v>180</v>
      </c>
      <c r="C85">
        <v>24037</v>
      </c>
    </row>
    <row r="86" spans="1:3" x14ac:dyDescent="0.2">
      <c r="B86" t="s">
        <v>181</v>
      </c>
      <c r="C86">
        <v>14588</v>
      </c>
    </row>
    <row r="87" spans="1:3" x14ac:dyDescent="0.2">
      <c r="B87" t="s">
        <v>182</v>
      </c>
      <c r="C87">
        <v>14578</v>
      </c>
    </row>
    <row r="88" spans="1:3" x14ac:dyDescent="0.2">
      <c r="B88" t="s">
        <v>183</v>
      </c>
      <c r="C88">
        <v>19510</v>
      </c>
    </row>
    <row r="89" spans="1:3" x14ac:dyDescent="0.2">
      <c r="B89" t="s">
        <v>197</v>
      </c>
      <c r="C89">
        <v>26903</v>
      </c>
    </row>
    <row r="90" spans="1:3" x14ac:dyDescent="0.2">
      <c r="B90" t="s">
        <v>198</v>
      </c>
      <c r="C90">
        <v>31076</v>
      </c>
    </row>
    <row r="91" spans="1:3" x14ac:dyDescent="0.2">
      <c r="B91" t="s">
        <v>199</v>
      </c>
      <c r="C91">
        <v>41646</v>
      </c>
    </row>
    <row r="92" spans="1:3" x14ac:dyDescent="0.2">
      <c r="A92" t="s">
        <v>63</v>
      </c>
      <c r="C92">
        <v>356466</v>
      </c>
    </row>
    <row r="93" spans="1:3" x14ac:dyDescent="0.2">
      <c r="A93" t="s">
        <v>7</v>
      </c>
      <c r="B93" t="s">
        <v>175</v>
      </c>
      <c r="C93">
        <v>21857</v>
      </c>
    </row>
    <row r="94" spans="1:3" x14ac:dyDescent="0.2">
      <c r="B94" t="s">
        <v>176</v>
      </c>
      <c r="C94">
        <v>25817</v>
      </c>
    </row>
    <row r="95" spans="1:3" x14ac:dyDescent="0.2">
      <c r="B95" t="s">
        <v>177</v>
      </c>
      <c r="C95">
        <v>16425</v>
      </c>
    </row>
    <row r="96" spans="1:3" x14ac:dyDescent="0.2">
      <c r="B96" t="s">
        <v>178</v>
      </c>
      <c r="C96">
        <v>19961</v>
      </c>
    </row>
    <row r="97" spans="1:3" x14ac:dyDescent="0.2">
      <c r="B97" t="s">
        <v>179</v>
      </c>
      <c r="C97">
        <v>17531</v>
      </c>
    </row>
    <row r="98" spans="1:3" x14ac:dyDescent="0.2">
      <c r="B98" t="s">
        <v>180</v>
      </c>
      <c r="C98">
        <v>14184</v>
      </c>
    </row>
    <row r="99" spans="1:3" x14ac:dyDescent="0.2">
      <c r="B99" t="s">
        <v>181</v>
      </c>
      <c r="C99">
        <v>19364</v>
      </c>
    </row>
    <row r="100" spans="1:3" x14ac:dyDescent="0.2">
      <c r="B100" t="s">
        <v>182</v>
      </c>
      <c r="C100">
        <v>19602</v>
      </c>
    </row>
    <row r="101" spans="1:3" x14ac:dyDescent="0.2">
      <c r="B101" t="s">
        <v>183</v>
      </c>
      <c r="C101">
        <v>19778</v>
      </c>
    </row>
    <row r="102" spans="1:3" x14ac:dyDescent="0.2">
      <c r="B102" t="s">
        <v>197</v>
      </c>
      <c r="C102">
        <v>14536</v>
      </c>
    </row>
    <row r="103" spans="1:3" x14ac:dyDescent="0.2">
      <c r="B103" t="s">
        <v>198</v>
      </c>
      <c r="C103">
        <v>12517</v>
      </c>
    </row>
    <row r="104" spans="1:3" x14ac:dyDescent="0.2">
      <c r="B104" t="s">
        <v>199</v>
      </c>
      <c r="C104">
        <v>10709</v>
      </c>
    </row>
    <row r="105" spans="1:3" x14ac:dyDescent="0.2">
      <c r="A105" t="s">
        <v>64</v>
      </c>
      <c r="C105">
        <v>212281</v>
      </c>
    </row>
    <row r="106" spans="1:3" x14ac:dyDescent="0.2">
      <c r="A106" t="s">
        <v>8</v>
      </c>
      <c r="B106" t="s">
        <v>175</v>
      </c>
      <c r="C106">
        <v>69854</v>
      </c>
    </row>
    <row r="107" spans="1:3" x14ac:dyDescent="0.2">
      <c r="B107" t="s">
        <v>176</v>
      </c>
      <c r="C107">
        <v>70067</v>
      </c>
    </row>
    <row r="108" spans="1:3" x14ac:dyDescent="0.2">
      <c r="B108" t="s">
        <v>177</v>
      </c>
      <c r="C108">
        <v>80574</v>
      </c>
    </row>
    <row r="109" spans="1:3" x14ac:dyDescent="0.2">
      <c r="B109" t="s">
        <v>178</v>
      </c>
      <c r="C109">
        <v>63576</v>
      </c>
    </row>
    <row r="110" spans="1:3" x14ac:dyDescent="0.2">
      <c r="B110" t="s">
        <v>179</v>
      </c>
      <c r="C110">
        <v>102162</v>
      </c>
    </row>
    <row r="111" spans="1:3" x14ac:dyDescent="0.2">
      <c r="B111" t="s">
        <v>180</v>
      </c>
      <c r="C111">
        <v>59959</v>
      </c>
    </row>
    <row r="112" spans="1:3" x14ac:dyDescent="0.2">
      <c r="B112" t="s">
        <v>181</v>
      </c>
      <c r="C112">
        <v>36160</v>
      </c>
    </row>
    <row r="113" spans="1:3" x14ac:dyDescent="0.2">
      <c r="B113" t="s">
        <v>182</v>
      </c>
      <c r="C113">
        <v>28338</v>
      </c>
    </row>
    <row r="114" spans="1:3" x14ac:dyDescent="0.2">
      <c r="B114" t="s">
        <v>183</v>
      </c>
      <c r="C114">
        <v>29560</v>
      </c>
    </row>
    <row r="115" spans="1:3" x14ac:dyDescent="0.2">
      <c r="B115" t="s">
        <v>197</v>
      </c>
      <c r="C115">
        <v>34745</v>
      </c>
    </row>
    <row r="116" spans="1:3" x14ac:dyDescent="0.2">
      <c r="B116" t="s">
        <v>198</v>
      </c>
      <c r="C116">
        <v>36173</v>
      </c>
    </row>
    <row r="117" spans="1:3" x14ac:dyDescent="0.2">
      <c r="B117" t="s">
        <v>199</v>
      </c>
      <c r="C117">
        <v>40606</v>
      </c>
    </row>
    <row r="118" spans="1:3" x14ac:dyDescent="0.2">
      <c r="A118" t="s">
        <v>65</v>
      </c>
      <c r="C118">
        <v>651774</v>
      </c>
    </row>
    <row r="119" spans="1:3" x14ac:dyDescent="0.2">
      <c r="A119" t="s">
        <v>9</v>
      </c>
      <c r="B119" t="s">
        <v>175</v>
      </c>
      <c r="C119">
        <v>308</v>
      </c>
    </row>
    <row r="120" spans="1:3" x14ac:dyDescent="0.2">
      <c r="B120" t="s">
        <v>176</v>
      </c>
      <c r="C120">
        <v>117</v>
      </c>
    </row>
    <row r="121" spans="1:3" x14ac:dyDescent="0.2">
      <c r="B121" t="s">
        <v>177</v>
      </c>
      <c r="C121">
        <v>270</v>
      </c>
    </row>
    <row r="122" spans="1:3" x14ac:dyDescent="0.2">
      <c r="B122" t="s">
        <v>178</v>
      </c>
      <c r="C122">
        <v>449</v>
      </c>
    </row>
    <row r="123" spans="1:3" x14ac:dyDescent="0.2">
      <c r="B123" t="s">
        <v>179</v>
      </c>
      <c r="C123">
        <v>651</v>
      </c>
    </row>
    <row r="124" spans="1:3" x14ac:dyDescent="0.2">
      <c r="B124" t="s">
        <v>180</v>
      </c>
      <c r="C124">
        <v>519</v>
      </c>
    </row>
    <row r="125" spans="1:3" x14ac:dyDescent="0.2">
      <c r="B125" t="s">
        <v>181</v>
      </c>
      <c r="C125">
        <v>651</v>
      </c>
    </row>
    <row r="126" spans="1:3" x14ac:dyDescent="0.2">
      <c r="B126" t="s">
        <v>182</v>
      </c>
      <c r="C126">
        <v>837</v>
      </c>
    </row>
    <row r="127" spans="1:3" x14ac:dyDescent="0.2">
      <c r="B127" t="s">
        <v>183</v>
      </c>
      <c r="C127">
        <v>930</v>
      </c>
    </row>
    <row r="128" spans="1:3" x14ac:dyDescent="0.2">
      <c r="B128" t="s">
        <v>197</v>
      </c>
      <c r="C128">
        <v>507</v>
      </c>
    </row>
    <row r="129" spans="1:3" x14ac:dyDescent="0.2">
      <c r="B129" t="s">
        <v>198</v>
      </c>
      <c r="C129">
        <v>248</v>
      </c>
    </row>
    <row r="130" spans="1:3" x14ac:dyDescent="0.2">
      <c r="B130" t="s">
        <v>199</v>
      </c>
      <c r="C130">
        <v>157</v>
      </c>
    </row>
    <row r="131" spans="1:3" x14ac:dyDescent="0.2">
      <c r="A131" t="s">
        <v>66</v>
      </c>
      <c r="C131">
        <v>5644</v>
      </c>
    </row>
    <row r="132" spans="1:3" x14ac:dyDescent="0.2">
      <c r="A132" t="s">
        <v>10</v>
      </c>
      <c r="B132" t="s">
        <v>175</v>
      </c>
      <c r="C132">
        <v>125019</v>
      </c>
    </row>
    <row r="133" spans="1:3" x14ac:dyDescent="0.2">
      <c r="B133" t="s">
        <v>176</v>
      </c>
      <c r="C133">
        <v>125558</v>
      </c>
    </row>
    <row r="134" spans="1:3" x14ac:dyDescent="0.2">
      <c r="B134" t="s">
        <v>177</v>
      </c>
      <c r="C134">
        <v>106954</v>
      </c>
    </row>
    <row r="135" spans="1:3" x14ac:dyDescent="0.2">
      <c r="B135" t="s">
        <v>178</v>
      </c>
      <c r="C135">
        <v>152170</v>
      </c>
    </row>
    <row r="136" spans="1:3" x14ac:dyDescent="0.2">
      <c r="B136" t="s">
        <v>179</v>
      </c>
      <c r="C136">
        <v>135960</v>
      </c>
    </row>
    <row r="137" spans="1:3" x14ac:dyDescent="0.2">
      <c r="B137" t="s">
        <v>180</v>
      </c>
      <c r="C137">
        <v>88760</v>
      </c>
    </row>
    <row r="138" spans="1:3" x14ac:dyDescent="0.2">
      <c r="B138" t="s">
        <v>181</v>
      </c>
      <c r="C138">
        <v>60073</v>
      </c>
    </row>
    <row r="139" spans="1:3" x14ac:dyDescent="0.2">
      <c r="B139" t="s">
        <v>182</v>
      </c>
      <c r="C139">
        <v>38917</v>
      </c>
    </row>
    <row r="140" spans="1:3" x14ac:dyDescent="0.2">
      <c r="B140" t="s">
        <v>183</v>
      </c>
      <c r="C140">
        <v>42783</v>
      </c>
    </row>
    <row r="141" spans="1:3" x14ac:dyDescent="0.2">
      <c r="B141" t="s">
        <v>197</v>
      </c>
      <c r="C141">
        <v>58486</v>
      </c>
    </row>
    <row r="142" spans="1:3" x14ac:dyDescent="0.2">
      <c r="B142" t="s">
        <v>198</v>
      </c>
      <c r="C142">
        <v>64284</v>
      </c>
    </row>
    <row r="143" spans="1:3" x14ac:dyDescent="0.2">
      <c r="B143" t="s">
        <v>199</v>
      </c>
      <c r="C143">
        <v>97842</v>
      </c>
    </row>
    <row r="144" spans="1:3" x14ac:dyDescent="0.2">
      <c r="A144" t="s">
        <v>67</v>
      </c>
      <c r="C144">
        <v>1096806</v>
      </c>
    </row>
    <row r="145" spans="1:3" x14ac:dyDescent="0.2">
      <c r="A145" t="s">
        <v>11</v>
      </c>
      <c r="B145" t="s">
        <v>175</v>
      </c>
      <c r="C145">
        <v>30256</v>
      </c>
    </row>
    <row r="146" spans="1:3" x14ac:dyDescent="0.2">
      <c r="B146" t="s">
        <v>176</v>
      </c>
      <c r="C146">
        <v>34262</v>
      </c>
    </row>
    <row r="147" spans="1:3" x14ac:dyDescent="0.2">
      <c r="B147" t="s">
        <v>177</v>
      </c>
      <c r="C147">
        <v>34999</v>
      </c>
    </row>
    <row r="148" spans="1:3" x14ac:dyDescent="0.2">
      <c r="B148" t="s">
        <v>178</v>
      </c>
      <c r="C148">
        <v>51930</v>
      </c>
    </row>
    <row r="149" spans="1:3" x14ac:dyDescent="0.2">
      <c r="B149" t="s">
        <v>179</v>
      </c>
      <c r="C149">
        <v>47925</v>
      </c>
    </row>
    <row r="150" spans="1:3" x14ac:dyDescent="0.2">
      <c r="B150" t="s">
        <v>180</v>
      </c>
      <c r="C150">
        <v>29887</v>
      </c>
    </row>
    <row r="151" spans="1:3" x14ac:dyDescent="0.2">
      <c r="B151" t="s">
        <v>181</v>
      </c>
      <c r="C151">
        <v>29738</v>
      </c>
    </row>
    <row r="152" spans="1:3" x14ac:dyDescent="0.2">
      <c r="B152" t="s">
        <v>182</v>
      </c>
      <c r="C152">
        <v>27319</v>
      </c>
    </row>
    <row r="153" spans="1:3" x14ac:dyDescent="0.2">
      <c r="B153" t="s">
        <v>183</v>
      </c>
      <c r="C153">
        <v>24683</v>
      </c>
    </row>
    <row r="154" spans="1:3" x14ac:dyDescent="0.2">
      <c r="B154" t="s">
        <v>197</v>
      </c>
      <c r="C154">
        <v>20879</v>
      </c>
    </row>
    <row r="155" spans="1:3" x14ac:dyDescent="0.2">
      <c r="B155" t="s">
        <v>198</v>
      </c>
      <c r="C155">
        <v>19275</v>
      </c>
    </row>
    <row r="156" spans="1:3" x14ac:dyDescent="0.2">
      <c r="B156" t="s">
        <v>199</v>
      </c>
      <c r="C156">
        <v>22836</v>
      </c>
    </row>
    <row r="157" spans="1:3" x14ac:dyDescent="0.2">
      <c r="A157" t="s">
        <v>68</v>
      </c>
      <c r="C157">
        <v>373989</v>
      </c>
    </row>
    <row r="158" spans="1:3" x14ac:dyDescent="0.2">
      <c r="A158" t="s">
        <v>12</v>
      </c>
      <c r="B158" t="s">
        <v>175</v>
      </c>
      <c r="C158">
        <v>26501</v>
      </c>
    </row>
    <row r="159" spans="1:3" x14ac:dyDescent="0.2">
      <c r="B159" t="s">
        <v>176</v>
      </c>
      <c r="C159">
        <v>28894</v>
      </c>
    </row>
    <row r="160" spans="1:3" x14ac:dyDescent="0.2">
      <c r="B160" t="s">
        <v>177</v>
      </c>
      <c r="C160">
        <v>28051</v>
      </c>
    </row>
    <row r="161" spans="1:3" x14ac:dyDescent="0.2">
      <c r="B161" t="s">
        <v>178</v>
      </c>
      <c r="C161">
        <v>49505</v>
      </c>
    </row>
    <row r="162" spans="1:3" x14ac:dyDescent="0.2">
      <c r="B162" t="s">
        <v>179</v>
      </c>
      <c r="C162">
        <v>55860</v>
      </c>
    </row>
    <row r="163" spans="1:3" x14ac:dyDescent="0.2">
      <c r="B163" t="s">
        <v>180</v>
      </c>
      <c r="C163">
        <v>35074</v>
      </c>
    </row>
    <row r="164" spans="1:3" x14ac:dyDescent="0.2">
      <c r="B164" t="s">
        <v>181</v>
      </c>
      <c r="C164">
        <v>30564</v>
      </c>
    </row>
    <row r="165" spans="1:3" x14ac:dyDescent="0.2">
      <c r="B165" t="s">
        <v>182</v>
      </c>
      <c r="C165">
        <v>34108</v>
      </c>
    </row>
    <row r="166" spans="1:3" x14ac:dyDescent="0.2">
      <c r="B166" t="s">
        <v>183</v>
      </c>
      <c r="C166">
        <v>40508</v>
      </c>
    </row>
    <row r="167" spans="1:3" x14ac:dyDescent="0.2">
      <c r="B167" t="s">
        <v>197</v>
      </c>
      <c r="C167">
        <v>31497</v>
      </c>
    </row>
    <row r="168" spans="1:3" x14ac:dyDescent="0.2">
      <c r="B168" t="s">
        <v>198</v>
      </c>
      <c r="C168">
        <v>29109</v>
      </c>
    </row>
    <row r="169" spans="1:3" x14ac:dyDescent="0.2">
      <c r="B169" t="s">
        <v>199</v>
      </c>
      <c r="C169">
        <v>25400</v>
      </c>
    </row>
    <row r="170" spans="1:3" x14ac:dyDescent="0.2">
      <c r="A170" t="s">
        <v>69</v>
      </c>
      <c r="C170">
        <v>415071</v>
      </c>
    </row>
    <row r="171" spans="1:3" x14ac:dyDescent="0.2">
      <c r="A171" t="s">
        <v>13</v>
      </c>
      <c r="B171" t="s">
        <v>175</v>
      </c>
      <c r="C171">
        <v>65432</v>
      </c>
    </row>
    <row r="172" spans="1:3" x14ac:dyDescent="0.2">
      <c r="B172" t="s">
        <v>176</v>
      </c>
      <c r="C172">
        <v>64744</v>
      </c>
    </row>
    <row r="173" spans="1:3" x14ac:dyDescent="0.2">
      <c r="B173" t="s">
        <v>177</v>
      </c>
      <c r="C173">
        <v>46566</v>
      </c>
    </row>
    <row r="174" spans="1:3" x14ac:dyDescent="0.2">
      <c r="B174" t="s">
        <v>178</v>
      </c>
      <c r="C174">
        <v>60334</v>
      </c>
    </row>
    <row r="175" spans="1:3" x14ac:dyDescent="0.2">
      <c r="B175" t="s">
        <v>179</v>
      </c>
      <c r="C175">
        <v>49207</v>
      </c>
    </row>
    <row r="176" spans="1:3" x14ac:dyDescent="0.2">
      <c r="B176" t="s">
        <v>180</v>
      </c>
      <c r="C176">
        <v>32914</v>
      </c>
    </row>
    <row r="177" spans="1:3" x14ac:dyDescent="0.2">
      <c r="B177" t="s">
        <v>181</v>
      </c>
      <c r="C177">
        <v>24847</v>
      </c>
    </row>
    <row r="178" spans="1:3" x14ac:dyDescent="0.2">
      <c r="B178" t="s">
        <v>182</v>
      </c>
      <c r="C178">
        <v>19029</v>
      </c>
    </row>
    <row r="179" spans="1:3" x14ac:dyDescent="0.2">
      <c r="B179" t="s">
        <v>183</v>
      </c>
      <c r="C179">
        <v>18338</v>
      </c>
    </row>
    <row r="180" spans="1:3" x14ac:dyDescent="0.2">
      <c r="B180" t="s">
        <v>197</v>
      </c>
      <c r="C180">
        <v>24671</v>
      </c>
    </row>
    <row r="181" spans="1:3" x14ac:dyDescent="0.2">
      <c r="B181" t="s">
        <v>198</v>
      </c>
      <c r="C181">
        <v>23403</v>
      </c>
    </row>
    <row r="182" spans="1:3" x14ac:dyDescent="0.2">
      <c r="B182" t="s">
        <v>199</v>
      </c>
      <c r="C182">
        <v>38078</v>
      </c>
    </row>
    <row r="183" spans="1:3" x14ac:dyDescent="0.2">
      <c r="A183" t="s">
        <v>70</v>
      </c>
      <c r="C183">
        <v>467563</v>
      </c>
    </row>
    <row r="184" spans="1:3" x14ac:dyDescent="0.2">
      <c r="A184" t="s">
        <v>14</v>
      </c>
      <c r="B184" t="s">
        <v>175</v>
      </c>
      <c r="C184">
        <v>59095</v>
      </c>
    </row>
    <row r="185" spans="1:3" x14ac:dyDescent="0.2">
      <c r="B185" t="s">
        <v>176</v>
      </c>
      <c r="C185">
        <v>55601</v>
      </c>
    </row>
    <row r="186" spans="1:3" x14ac:dyDescent="0.2">
      <c r="B186" t="s">
        <v>177</v>
      </c>
      <c r="C186">
        <v>46302</v>
      </c>
    </row>
    <row r="187" spans="1:3" x14ac:dyDescent="0.2">
      <c r="B187" t="s">
        <v>178</v>
      </c>
      <c r="C187">
        <v>54753</v>
      </c>
    </row>
    <row r="188" spans="1:3" x14ac:dyDescent="0.2">
      <c r="B188" t="s">
        <v>179</v>
      </c>
      <c r="C188">
        <v>61478</v>
      </c>
    </row>
    <row r="189" spans="1:3" x14ac:dyDescent="0.2">
      <c r="B189" t="s">
        <v>180</v>
      </c>
      <c r="C189">
        <v>37788</v>
      </c>
    </row>
    <row r="190" spans="1:3" x14ac:dyDescent="0.2">
      <c r="B190" t="s">
        <v>181</v>
      </c>
      <c r="C190">
        <v>27117</v>
      </c>
    </row>
    <row r="191" spans="1:3" x14ac:dyDescent="0.2">
      <c r="B191" t="s">
        <v>182</v>
      </c>
      <c r="C191">
        <v>27316</v>
      </c>
    </row>
    <row r="192" spans="1:3" x14ac:dyDescent="0.2">
      <c r="B192" t="s">
        <v>183</v>
      </c>
      <c r="C192">
        <v>32922</v>
      </c>
    </row>
    <row r="193" spans="1:3" x14ac:dyDescent="0.2">
      <c r="B193" t="s">
        <v>197</v>
      </c>
      <c r="C193">
        <v>35144</v>
      </c>
    </row>
    <row r="194" spans="1:3" x14ac:dyDescent="0.2">
      <c r="B194" t="s">
        <v>198</v>
      </c>
      <c r="C194">
        <v>36649</v>
      </c>
    </row>
    <row r="195" spans="1:3" x14ac:dyDescent="0.2">
      <c r="B195" t="s">
        <v>199</v>
      </c>
      <c r="C195">
        <v>54692</v>
      </c>
    </row>
    <row r="196" spans="1:3" x14ac:dyDescent="0.2">
      <c r="A196" t="s">
        <v>71</v>
      </c>
      <c r="C196">
        <v>528857</v>
      </c>
    </row>
    <row r="197" spans="1:3" x14ac:dyDescent="0.2">
      <c r="A197" t="s">
        <v>15</v>
      </c>
      <c r="B197" t="s">
        <v>175</v>
      </c>
      <c r="C197">
        <v>15310</v>
      </c>
    </row>
    <row r="198" spans="1:3" x14ac:dyDescent="0.2">
      <c r="B198" t="s">
        <v>176</v>
      </c>
      <c r="C198">
        <v>12934</v>
      </c>
    </row>
    <row r="199" spans="1:3" x14ac:dyDescent="0.2">
      <c r="B199" t="s">
        <v>177</v>
      </c>
      <c r="C199">
        <v>14097</v>
      </c>
    </row>
    <row r="200" spans="1:3" x14ac:dyDescent="0.2">
      <c r="B200" t="s">
        <v>178</v>
      </c>
      <c r="C200">
        <v>16966</v>
      </c>
    </row>
    <row r="201" spans="1:3" x14ac:dyDescent="0.2">
      <c r="B201" t="s">
        <v>179</v>
      </c>
      <c r="C201">
        <v>20830</v>
      </c>
    </row>
    <row r="202" spans="1:3" x14ac:dyDescent="0.2">
      <c r="B202" t="s">
        <v>180</v>
      </c>
      <c r="C202">
        <v>13643</v>
      </c>
    </row>
    <row r="203" spans="1:3" x14ac:dyDescent="0.2">
      <c r="B203" t="s">
        <v>181</v>
      </c>
      <c r="C203">
        <v>8882</v>
      </c>
    </row>
    <row r="204" spans="1:3" x14ac:dyDescent="0.2">
      <c r="B204" t="s">
        <v>182</v>
      </c>
      <c r="C204">
        <v>9330</v>
      </c>
    </row>
    <row r="205" spans="1:3" x14ac:dyDescent="0.2">
      <c r="B205" t="s">
        <v>183</v>
      </c>
      <c r="C205">
        <v>8126</v>
      </c>
    </row>
    <row r="206" spans="1:3" x14ac:dyDescent="0.2">
      <c r="B206" t="s">
        <v>197</v>
      </c>
      <c r="C206">
        <v>8416</v>
      </c>
    </row>
    <row r="207" spans="1:3" x14ac:dyDescent="0.2">
      <c r="B207" t="s">
        <v>198</v>
      </c>
      <c r="C207">
        <v>9158</v>
      </c>
    </row>
    <row r="208" spans="1:3" x14ac:dyDescent="0.2">
      <c r="B208" t="s">
        <v>199</v>
      </c>
      <c r="C208">
        <v>11049</v>
      </c>
    </row>
    <row r="209" spans="1:3" x14ac:dyDescent="0.2">
      <c r="A209" t="s">
        <v>72</v>
      </c>
      <c r="C209">
        <v>148741</v>
      </c>
    </row>
    <row r="210" spans="1:3" x14ac:dyDescent="0.2">
      <c r="A210" t="s">
        <v>16</v>
      </c>
      <c r="B210" t="s">
        <v>175</v>
      </c>
      <c r="C210">
        <v>17670</v>
      </c>
    </row>
    <row r="211" spans="1:3" x14ac:dyDescent="0.2">
      <c r="B211" t="s">
        <v>176</v>
      </c>
      <c r="C211">
        <v>17987</v>
      </c>
    </row>
    <row r="212" spans="1:3" x14ac:dyDescent="0.2">
      <c r="B212" t="s">
        <v>177</v>
      </c>
      <c r="C212">
        <v>22415</v>
      </c>
    </row>
    <row r="213" spans="1:3" x14ac:dyDescent="0.2">
      <c r="B213" t="s">
        <v>178</v>
      </c>
      <c r="C213">
        <v>21112</v>
      </c>
    </row>
    <row r="214" spans="1:3" x14ac:dyDescent="0.2">
      <c r="B214" t="s">
        <v>179</v>
      </c>
      <c r="C214">
        <v>34012</v>
      </c>
    </row>
    <row r="215" spans="1:3" x14ac:dyDescent="0.2">
      <c r="B215" t="s">
        <v>180</v>
      </c>
      <c r="C215">
        <v>6984</v>
      </c>
    </row>
    <row r="216" spans="1:3" x14ac:dyDescent="0.2">
      <c r="B216" t="s">
        <v>181</v>
      </c>
      <c r="C216">
        <v>8619</v>
      </c>
    </row>
    <row r="217" spans="1:3" x14ac:dyDescent="0.2">
      <c r="B217" t="s">
        <v>182</v>
      </c>
      <c r="C217">
        <v>7199</v>
      </c>
    </row>
    <row r="218" spans="1:3" x14ac:dyDescent="0.2">
      <c r="B218" t="s">
        <v>183</v>
      </c>
      <c r="C218">
        <v>6856</v>
      </c>
    </row>
    <row r="219" spans="1:3" x14ac:dyDescent="0.2">
      <c r="B219" t="s">
        <v>197</v>
      </c>
      <c r="C219">
        <v>7283</v>
      </c>
    </row>
    <row r="220" spans="1:3" x14ac:dyDescent="0.2">
      <c r="B220" t="s">
        <v>198</v>
      </c>
      <c r="C220">
        <v>8087</v>
      </c>
    </row>
    <row r="221" spans="1:3" x14ac:dyDescent="0.2">
      <c r="B221" t="s">
        <v>199</v>
      </c>
      <c r="C221">
        <v>14791</v>
      </c>
    </row>
    <row r="222" spans="1:3" x14ac:dyDescent="0.2">
      <c r="A222" t="s">
        <v>73</v>
      </c>
      <c r="C222">
        <v>173015</v>
      </c>
    </row>
    <row r="223" spans="1:3" x14ac:dyDescent="0.2">
      <c r="A223" t="s">
        <v>17</v>
      </c>
      <c r="B223" t="s">
        <v>175</v>
      </c>
      <c r="C223">
        <v>38423</v>
      </c>
    </row>
    <row r="224" spans="1:3" x14ac:dyDescent="0.2">
      <c r="B224" t="s">
        <v>176</v>
      </c>
      <c r="C224">
        <v>41401</v>
      </c>
    </row>
    <row r="225" spans="1:3" x14ac:dyDescent="0.2">
      <c r="B225" t="s">
        <v>177</v>
      </c>
      <c r="C225">
        <v>43207</v>
      </c>
    </row>
    <row r="226" spans="1:3" x14ac:dyDescent="0.2">
      <c r="B226" t="s">
        <v>178</v>
      </c>
      <c r="C226">
        <v>41182</v>
      </c>
    </row>
    <row r="227" spans="1:3" x14ac:dyDescent="0.2">
      <c r="B227" t="s">
        <v>179</v>
      </c>
      <c r="C227">
        <v>69719</v>
      </c>
    </row>
    <row r="228" spans="1:3" x14ac:dyDescent="0.2">
      <c r="B228" t="s">
        <v>180</v>
      </c>
      <c r="C228">
        <v>24319</v>
      </c>
    </row>
    <row r="229" spans="1:3" x14ac:dyDescent="0.2">
      <c r="B229" t="s">
        <v>181</v>
      </c>
      <c r="C229">
        <v>16568</v>
      </c>
    </row>
    <row r="230" spans="1:3" x14ac:dyDescent="0.2">
      <c r="B230" t="s">
        <v>182</v>
      </c>
      <c r="C230">
        <v>17998</v>
      </c>
    </row>
    <row r="231" spans="1:3" x14ac:dyDescent="0.2">
      <c r="B231" t="s">
        <v>183</v>
      </c>
      <c r="C231">
        <v>14714</v>
      </c>
    </row>
    <row r="232" spans="1:3" x14ac:dyDescent="0.2">
      <c r="B232" t="s">
        <v>197</v>
      </c>
      <c r="C232">
        <v>16561</v>
      </c>
    </row>
    <row r="233" spans="1:3" x14ac:dyDescent="0.2">
      <c r="B233" t="s">
        <v>198</v>
      </c>
      <c r="C233">
        <v>25449</v>
      </c>
    </row>
    <row r="234" spans="1:3" x14ac:dyDescent="0.2">
      <c r="B234" t="s">
        <v>199</v>
      </c>
      <c r="C234">
        <v>29412</v>
      </c>
    </row>
    <row r="235" spans="1:3" x14ac:dyDescent="0.2">
      <c r="A235" t="s">
        <v>74</v>
      </c>
      <c r="C235">
        <v>378953</v>
      </c>
    </row>
    <row r="236" spans="1:3" x14ac:dyDescent="0.2">
      <c r="A236" t="s">
        <v>18</v>
      </c>
      <c r="B236" t="s">
        <v>175</v>
      </c>
      <c r="C236">
        <v>32718</v>
      </c>
    </row>
    <row r="237" spans="1:3" x14ac:dyDescent="0.2">
      <c r="B237" t="s">
        <v>176</v>
      </c>
      <c r="C237">
        <v>27963</v>
      </c>
    </row>
    <row r="238" spans="1:3" x14ac:dyDescent="0.2">
      <c r="B238" t="s">
        <v>177</v>
      </c>
      <c r="C238">
        <v>27570</v>
      </c>
    </row>
    <row r="239" spans="1:3" x14ac:dyDescent="0.2">
      <c r="B239" t="s">
        <v>178</v>
      </c>
      <c r="C239">
        <v>32770</v>
      </c>
    </row>
    <row r="240" spans="1:3" x14ac:dyDescent="0.2">
      <c r="B240" t="s">
        <v>179</v>
      </c>
      <c r="C240">
        <v>26888</v>
      </c>
    </row>
    <row r="241" spans="1:3" x14ac:dyDescent="0.2">
      <c r="B241" t="s">
        <v>180</v>
      </c>
      <c r="C241">
        <v>17555</v>
      </c>
    </row>
    <row r="242" spans="1:3" x14ac:dyDescent="0.2">
      <c r="B242" t="s">
        <v>181</v>
      </c>
      <c r="C242">
        <v>13156</v>
      </c>
    </row>
    <row r="243" spans="1:3" x14ac:dyDescent="0.2">
      <c r="B243" t="s">
        <v>182</v>
      </c>
      <c r="C243">
        <v>12700</v>
      </c>
    </row>
    <row r="244" spans="1:3" x14ac:dyDescent="0.2">
      <c r="B244" t="s">
        <v>183</v>
      </c>
      <c r="C244">
        <v>12278</v>
      </c>
    </row>
    <row r="245" spans="1:3" x14ac:dyDescent="0.2">
      <c r="B245" t="s">
        <v>197</v>
      </c>
      <c r="C245">
        <v>11356</v>
      </c>
    </row>
    <row r="246" spans="1:3" x14ac:dyDescent="0.2">
      <c r="B246" t="s">
        <v>198</v>
      </c>
      <c r="C246">
        <v>11568</v>
      </c>
    </row>
    <row r="247" spans="1:3" x14ac:dyDescent="0.2">
      <c r="B247" t="s">
        <v>199</v>
      </c>
      <c r="C247">
        <v>21956</v>
      </c>
    </row>
    <row r="248" spans="1:3" x14ac:dyDescent="0.2">
      <c r="A248" t="s">
        <v>75</v>
      </c>
      <c r="C248">
        <v>248478</v>
      </c>
    </row>
    <row r="249" spans="1:3" x14ac:dyDescent="0.2">
      <c r="A249" t="s">
        <v>19</v>
      </c>
      <c r="B249" t="s">
        <v>175</v>
      </c>
      <c r="C249">
        <v>31658</v>
      </c>
    </row>
    <row r="250" spans="1:3" x14ac:dyDescent="0.2">
      <c r="B250" t="s">
        <v>176</v>
      </c>
      <c r="C250">
        <v>25413</v>
      </c>
    </row>
    <row r="251" spans="1:3" x14ac:dyDescent="0.2">
      <c r="B251" t="s">
        <v>177</v>
      </c>
      <c r="C251">
        <v>24071</v>
      </c>
    </row>
    <row r="252" spans="1:3" x14ac:dyDescent="0.2">
      <c r="B252" t="s">
        <v>178</v>
      </c>
      <c r="C252">
        <v>26443</v>
      </c>
    </row>
    <row r="253" spans="1:3" x14ac:dyDescent="0.2">
      <c r="B253" t="s">
        <v>179</v>
      </c>
      <c r="C253">
        <v>29278</v>
      </c>
    </row>
    <row r="254" spans="1:3" x14ac:dyDescent="0.2">
      <c r="B254" t="s">
        <v>180</v>
      </c>
      <c r="C254">
        <v>28226</v>
      </c>
    </row>
    <row r="255" spans="1:3" x14ac:dyDescent="0.2">
      <c r="B255" t="s">
        <v>181</v>
      </c>
      <c r="C255">
        <v>32659</v>
      </c>
    </row>
    <row r="256" spans="1:3" x14ac:dyDescent="0.2">
      <c r="B256" t="s">
        <v>182</v>
      </c>
      <c r="C256">
        <v>29813</v>
      </c>
    </row>
    <row r="257" spans="1:3" x14ac:dyDescent="0.2">
      <c r="B257" t="s">
        <v>183</v>
      </c>
      <c r="C257">
        <v>32277</v>
      </c>
    </row>
    <row r="258" spans="1:3" x14ac:dyDescent="0.2">
      <c r="B258" t="s">
        <v>197</v>
      </c>
      <c r="C258">
        <v>34094</v>
      </c>
    </row>
    <row r="259" spans="1:3" x14ac:dyDescent="0.2">
      <c r="B259" t="s">
        <v>198</v>
      </c>
      <c r="C259">
        <v>31953</v>
      </c>
    </row>
    <row r="260" spans="1:3" x14ac:dyDescent="0.2">
      <c r="B260" t="s">
        <v>199</v>
      </c>
      <c r="C260">
        <v>25674</v>
      </c>
    </row>
    <row r="261" spans="1:3" x14ac:dyDescent="0.2">
      <c r="A261" t="s">
        <v>76</v>
      </c>
      <c r="C261">
        <v>351559</v>
      </c>
    </row>
    <row r="262" spans="1:3" x14ac:dyDescent="0.2">
      <c r="A262" t="s">
        <v>20</v>
      </c>
      <c r="B262" t="s">
        <v>175</v>
      </c>
      <c r="C262">
        <v>33600</v>
      </c>
    </row>
    <row r="263" spans="1:3" x14ac:dyDescent="0.2">
      <c r="B263" t="s">
        <v>176</v>
      </c>
      <c r="C263">
        <v>29837</v>
      </c>
    </row>
    <row r="264" spans="1:3" x14ac:dyDescent="0.2">
      <c r="B264" t="s">
        <v>177</v>
      </c>
      <c r="C264">
        <v>29059</v>
      </c>
    </row>
    <row r="265" spans="1:3" x14ac:dyDescent="0.2">
      <c r="B265" t="s">
        <v>178</v>
      </c>
      <c r="C265">
        <v>34280</v>
      </c>
    </row>
    <row r="266" spans="1:3" x14ac:dyDescent="0.2">
      <c r="B266" t="s">
        <v>179</v>
      </c>
      <c r="C266">
        <v>40176</v>
      </c>
    </row>
    <row r="267" spans="1:3" x14ac:dyDescent="0.2">
      <c r="B267" t="s">
        <v>180</v>
      </c>
      <c r="C267">
        <v>40880</v>
      </c>
    </row>
    <row r="268" spans="1:3" x14ac:dyDescent="0.2">
      <c r="B268" t="s">
        <v>181</v>
      </c>
      <c r="C268">
        <v>37504</v>
      </c>
    </row>
    <row r="269" spans="1:3" x14ac:dyDescent="0.2">
      <c r="B269" t="s">
        <v>182</v>
      </c>
      <c r="C269">
        <v>40002</v>
      </c>
    </row>
    <row r="270" spans="1:3" x14ac:dyDescent="0.2">
      <c r="B270" t="s">
        <v>183</v>
      </c>
      <c r="C270">
        <v>30443</v>
      </c>
    </row>
    <row r="271" spans="1:3" x14ac:dyDescent="0.2">
      <c r="B271" t="s">
        <v>197</v>
      </c>
      <c r="C271">
        <v>34701</v>
      </c>
    </row>
    <row r="272" spans="1:3" x14ac:dyDescent="0.2">
      <c r="B272" t="s">
        <v>198</v>
      </c>
      <c r="C272">
        <v>28043</v>
      </c>
    </row>
    <row r="273" spans="1:3" x14ac:dyDescent="0.2">
      <c r="B273" t="s">
        <v>199</v>
      </c>
      <c r="C273">
        <v>17514</v>
      </c>
    </row>
    <row r="274" spans="1:3" x14ac:dyDescent="0.2">
      <c r="A274" t="s">
        <v>77</v>
      </c>
      <c r="C274">
        <v>396039</v>
      </c>
    </row>
    <row r="275" spans="1:3" x14ac:dyDescent="0.2">
      <c r="A275" t="s">
        <v>21</v>
      </c>
      <c r="B275" t="s">
        <v>175</v>
      </c>
      <c r="C275">
        <v>9735</v>
      </c>
    </row>
    <row r="276" spans="1:3" x14ac:dyDescent="0.2">
      <c r="B276" t="s">
        <v>176</v>
      </c>
      <c r="C276">
        <v>10834</v>
      </c>
    </row>
    <row r="277" spans="1:3" x14ac:dyDescent="0.2">
      <c r="B277" t="s">
        <v>177</v>
      </c>
      <c r="C277">
        <v>12061</v>
      </c>
    </row>
    <row r="278" spans="1:3" x14ac:dyDescent="0.2">
      <c r="B278" t="s">
        <v>178</v>
      </c>
      <c r="C278">
        <v>14111</v>
      </c>
    </row>
    <row r="279" spans="1:3" x14ac:dyDescent="0.2">
      <c r="B279" t="s">
        <v>179</v>
      </c>
      <c r="C279">
        <v>17315</v>
      </c>
    </row>
    <row r="280" spans="1:3" x14ac:dyDescent="0.2">
      <c r="B280" t="s">
        <v>180</v>
      </c>
      <c r="C280">
        <v>14176</v>
      </c>
    </row>
    <row r="281" spans="1:3" x14ac:dyDescent="0.2">
      <c r="B281" t="s">
        <v>181</v>
      </c>
      <c r="C281">
        <v>14235</v>
      </c>
    </row>
    <row r="282" spans="1:3" x14ac:dyDescent="0.2">
      <c r="B282" t="s">
        <v>182</v>
      </c>
      <c r="C282">
        <v>17050</v>
      </c>
    </row>
    <row r="283" spans="1:3" x14ac:dyDescent="0.2">
      <c r="B283" t="s">
        <v>183</v>
      </c>
      <c r="C283">
        <v>17033</v>
      </c>
    </row>
    <row r="284" spans="1:3" x14ac:dyDescent="0.2">
      <c r="B284" t="s">
        <v>197</v>
      </c>
      <c r="C284">
        <v>9124</v>
      </c>
    </row>
    <row r="285" spans="1:3" x14ac:dyDescent="0.2">
      <c r="B285" t="s">
        <v>198</v>
      </c>
      <c r="C285">
        <v>8352</v>
      </c>
    </row>
    <row r="286" spans="1:3" x14ac:dyDescent="0.2">
      <c r="B286" t="s">
        <v>199</v>
      </c>
      <c r="C286">
        <v>5511</v>
      </c>
    </row>
    <row r="287" spans="1:3" x14ac:dyDescent="0.2">
      <c r="A287" t="s">
        <v>78</v>
      </c>
      <c r="C287">
        <v>149537</v>
      </c>
    </row>
    <row r="288" spans="1:3" x14ac:dyDescent="0.2">
      <c r="A288" t="s">
        <v>22</v>
      </c>
      <c r="B288" t="s">
        <v>175</v>
      </c>
      <c r="C288">
        <v>31659</v>
      </c>
    </row>
    <row r="289" spans="1:3" x14ac:dyDescent="0.2">
      <c r="B289" t="s">
        <v>176</v>
      </c>
      <c r="C289">
        <v>28458</v>
      </c>
    </row>
    <row r="290" spans="1:3" x14ac:dyDescent="0.2">
      <c r="B290" t="s">
        <v>177</v>
      </c>
      <c r="C290">
        <v>30053</v>
      </c>
    </row>
    <row r="291" spans="1:3" x14ac:dyDescent="0.2">
      <c r="B291" t="s">
        <v>178</v>
      </c>
      <c r="C291">
        <v>40588</v>
      </c>
    </row>
    <row r="292" spans="1:3" x14ac:dyDescent="0.2">
      <c r="B292" t="s">
        <v>179</v>
      </c>
      <c r="C292">
        <v>49450</v>
      </c>
    </row>
    <row r="293" spans="1:3" x14ac:dyDescent="0.2">
      <c r="B293" t="s">
        <v>180</v>
      </c>
      <c r="C293">
        <v>24840</v>
      </c>
    </row>
    <row r="294" spans="1:3" x14ac:dyDescent="0.2">
      <c r="B294" t="s">
        <v>181</v>
      </c>
      <c r="C294">
        <v>18687</v>
      </c>
    </row>
    <row r="295" spans="1:3" x14ac:dyDescent="0.2">
      <c r="B295" t="s">
        <v>182</v>
      </c>
      <c r="C295">
        <v>13671</v>
      </c>
    </row>
    <row r="296" spans="1:3" x14ac:dyDescent="0.2">
      <c r="B296" t="s">
        <v>183</v>
      </c>
      <c r="C296">
        <v>11501</v>
      </c>
    </row>
    <row r="297" spans="1:3" x14ac:dyDescent="0.2">
      <c r="B297" t="s">
        <v>197</v>
      </c>
      <c r="C297">
        <v>12420</v>
      </c>
    </row>
    <row r="298" spans="1:3" x14ac:dyDescent="0.2">
      <c r="B298" t="s">
        <v>198</v>
      </c>
      <c r="C298">
        <v>12093</v>
      </c>
    </row>
    <row r="299" spans="1:3" x14ac:dyDescent="0.2">
      <c r="B299" t="s">
        <v>199</v>
      </c>
      <c r="C299">
        <v>19509</v>
      </c>
    </row>
    <row r="300" spans="1:3" x14ac:dyDescent="0.2">
      <c r="A300" t="s">
        <v>79</v>
      </c>
      <c r="C300">
        <v>292929</v>
      </c>
    </row>
    <row r="301" spans="1:3" x14ac:dyDescent="0.2">
      <c r="A301" t="s">
        <v>23</v>
      </c>
      <c r="B301" t="s">
        <v>175</v>
      </c>
      <c r="C301">
        <v>43534</v>
      </c>
    </row>
    <row r="302" spans="1:3" x14ac:dyDescent="0.2">
      <c r="B302" t="s">
        <v>176</v>
      </c>
      <c r="C302">
        <v>27845</v>
      </c>
    </row>
    <row r="303" spans="1:3" x14ac:dyDescent="0.2">
      <c r="B303" t="s">
        <v>177</v>
      </c>
      <c r="C303">
        <v>29541</v>
      </c>
    </row>
    <row r="304" spans="1:3" x14ac:dyDescent="0.2">
      <c r="B304" t="s">
        <v>178</v>
      </c>
      <c r="C304">
        <v>36383</v>
      </c>
    </row>
    <row r="305" spans="1:3" x14ac:dyDescent="0.2">
      <c r="B305" t="s">
        <v>179</v>
      </c>
      <c r="C305">
        <v>35941</v>
      </c>
    </row>
    <row r="306" spans="1:3" x14ac:dyDescent="0.2">
      <c r="B306" t="s">
        <v>180</v>
      </c>
      <c r="C306">
        <v>29260</v>
      </c>
    </row>
    <row r="307" spans="1:3" x14ac:dyDescent="0.2">
      <c r="B307" t="s">
        <v>181</v>
      </c>
      <c r="C307">
        <v>18060</v>
      </c>
    </row>
    <row r="308" spans="1:3" x14ac:dyDescent="0.2">
      <c r="B308" t="s">
        <v>182</v>
      </c>
      <c r="C308">
        <v>15793</v>
      </c>
    </row>
    <row r="309" spans="1:3" x14ac:dyDescent="0.2">
      <c r="B309" t="s">
        <v>183</v>
      </c>
      <c r="C309">
        <v>22581</v>
      </c>
    </row>
    <row r="310" spans="1:3" x14ac:dyDescent="0.2">
      <c r="B310" t="s">
        <v>197</v>
      </c>
      <c r="C310">
        <v>30336</v>
      </c>
    </row>
    <row r="311" spans="1:3" x14ac:dyDescent="0.2">
      <c r="B311" t="s">
        <v>198</v>
      </c>
      <c r="C311">
        <v>31055</v>
      </c>
    </row>
    <row r="312" spans="1:3" x14ac:dyDescent="0.2">
      <c r="B312" t="s">
        <v>199</v>
      </c>
      <c r="C312">
        <v>43401</v>
      </c>
    </row>
    <row r="313" spans="1:3" x14ac:dyDescent="0.2">
      <c r="A313" t="s">
        <v>80</v>
      </c>
      <c r="C313">
        <v>363730</v>
      </c>
    </row>
    <row r="314" spans="1:3" x14ac:dyDescent="0.2">
      <c r="A314" t="s">
        <v>24</v>
      </c>
      <c r="B314" t="s">
        <v>175</v>
      </c>
      <c r="C314">
        <v>15437</v>
      </c>
    </row>
    <row r="315" spans="1:3" x14ac:dyDescent="0.2">
      <c r="B315" t="s">
        <v>176</v>
      </c>
      <c r="C315">
        <v>14025</v>
      </c>
    </row>
    <row r="316" spans="1:3" x14ac:dyDescent="0.2">
      <c r="B316" t="s">
        <v>177</v>
      </c>
      <c r="C316">
        <v>13510</v>
      </c>
    </row>
    <row r="317" spans="1:3" x14ac:dyDescent="0.2">
      <c r="B317" t="s">
        <v>178</v>
      </c>
      <c r="C317">
        <v>18906</v>
      </c>
    </row>
    <row r="318" spans="1:3" x14ac:dyDescent="0.2">
      <c r="B318" t="s">
        <v>179</v>
      </c>
      <c r="C318">
        <v>18162</v>
      </c>
    </row>
    <row r="319" spans="1:3" x14ac:dyDescent="0.2">
      <c r="B319" t="s">
        <v>180</v>
      </c>
      <c r="C319">
        <v>8966</v>
      </c>
    </row>
    <row r="320" spans="1:3" x14ac:dyDescent="0.2">
      <c r="B320" t="s">
        <v>181</v>
      </c>
      <c r="C320">
        <v>7641</v>
      </c>
    </row>
    <row r="321" spans="1:3" x14ac:dyDescent="0.2">
      <c r="B321" t="s">
        <v>182</v>
      </c>
      <c r="C321">
        <v>7599</v>
      </c>
    </row>
    <row r="322" spans="1:3" x14ac:dyDescent="0.2">
      <c r="B322" t="s">
        <v>183</v>
      </c>
      <c r="C322">
        <v>7288</v>
      </c>
    </row>
    <row r="323" spans="1:3" x14ac:dyDescent="0.2">
      <c r="B323" t="s">
        <v>197</v>
      </c>
      <c r="C323">
        <v>5732</v>
      </c>
    </row>
    <row r="324" spans="1:3" x14ac:dyDescent="0.2">
      <c r="B324" t="s">
        <v>198</v>
      </c>
      <c r="C324">
        <v>4766</v>
      </c>
    </row>
    <row r="325" spans="1:3" x14ac:dyDescent="0.2">
      <c r="B325" t="s">
        <v>199</v>
      </c>
      <c r="C325">
        <v>8557</v>
      </c>
    </row>
    <row r="326" spans="1:3" x14ac:dyDescent="0.2">
      <c r="A326" t="s">
        <v>81</v>
      </c>
      <c r="C326">
        <v>130589</v>
      </c>
    </row>
    <row r="327" spans="1:3" x14ac:dyDescent="0.2">
      <c r="A327" t="s">
        <v>25</v>
      </c>
      <c r="B327" t="s">
        <v>175</v>
      </c>
      <c r="C327">
        <v>10925</v>
      </c>
    </row>
    <row r="328" spans="1:3" x14ac:dyDescent="0.2">
      <c r="B328" t="s">
        <v>176</v>
      </c>
      <c r="C328">
        <v>9153</v>
      </c>
    </row>
    <row r="329" spans="1:3" x14ac:dyDescent="0.2">
      <c r="B329" t="s">
        <v>177</v>
      </c>
      <c r="C329">
        <v>9351</v>
      </c>
    </row>
    <row r="330" spans="1:3" x14ac:dyDescent="0.2">
      <c r="B330" t="s">
        <v>178</v>
      </c>
      <c r="C330">
        <v>15426</v>
      </c>
    </row>
    <row r="331" spans="1:3" x14ac:dyDescent="0.2">
      <c r="B331" t="s">
        <v>179</v>
      </c>
      <c r="C331">
        <v>15240</v>
      </c>
    </row>
    <row r="332" spans="1:3" x14ac:dyDescent="0.2">
      <c r="B332" t="s">
        <v>180</v>
      </c>
      <c r="C332">
        <v>8890</v>
      </c>
    </row>
    <row r="333" spans="1:3" x14ac:dyDescent="0.2">
      <c r="B333" t="s">
        <v>181</v>
      </c>
      <c r="C333">
        <v>5074</v>
      </c>
    </row>
    <row r="334" spans="1:3" x14ac:dyDescent="0.2">
      <c r="B334" t="s">
        <v>182</v>
      </c>
      <c r="C334">
        <v>3516</v>
      </c>
    </row>
    <row r="335" spans="1:3" x14ac:dyDescent="0.2">
      <c r="B335" t="s">
        <v>183</v>
      </c>
      <c r="C335">
        <v>3435</v>
      </c>
    </row>
    <row r="336" spans="1:3" x14ac:dyDescent="0.2">
      <c r="B336" t="s">
        <v>197</v>
      </c>
      <c r="C336">
        <v>3884</v>
      </c>
    </row>
    <row r="337" spans="1:3" x14ac:dyDescent="0.2">
      <c r="B337" t="s">
        <v>198</v>
      </c>
      <c r="C337">
        <v>5699</v>
      </c>
    </row>
    <row r="338" spans="1:3" x14ac:dyDescent="0.2">
      <c r="B338" t="s">
        <v>199</v>
      </c>
      <c r="C338">
        <v>10635</v>
      </c>
    </row>
    <row r="339" spans="1:3" x14ac:dyDescent="0.2">
      <c r="A339" t="s">
        <v>82</v>
      </c>
      <c r="C339">
        <v>101228</v>
      </c>
    </row>
    <row r="340" spans="1:3" x14ac:dyDescent="0.2">
      <c r="A340" t="s">
        <v>26</v>
      </c>
      <c r="B340" t="s">
        <v>175</v>
      </c>
      <c r="C340">
        <v>37700</v>
      </c>
    </row>
    <row r="341" spans="1:3" x14ac:dyDescent="0.2">
      <c r="B341" t="s">
        <v>176</v>
      </c>
      <c r="C341">
        <v>36798</v>
      </c>
    </row>
    <row r="342" spans="1:3" x14ac:dyDescent="0.2">
      <c r="B342" t="s">
        <v>177</v>
      </c>
      <c r="C342">
        <v>31928</v>
      </c>
    </row>
    <row r="343" spans="1:3" x14ac:dyDescent="0.2">
      <c r="B343" t="s">
        <v>178</v>
      </c>
      <c r="C343">
        <v>48152</v>
      </c>
    </row>
    <row r="344" spans="1:3" x14ac:dyDescent="0.2">
      <c r="B344" t="s">
        <v>179</v>
      </c>
      <c r="C344">
        <v>50383</v>
      </c>
    </row>
    <row r="345" spans="1:3" x14ac:dyDescent="0.2">
      <c r="B345" t="s">
        <v>180</v>
      </c>
      <c r="C345">
        <v>32854</v>
      </c>
    </row>
    <row r="346" spans="1:3" x14ac:dyDescent="0.2">
      <c r="B346" t="s">
        <v>181</v>
      </c>
      <c r="C346">
        <v>30728</v>
      </c>
    </row>
    <row r="347" spans="1:3" x14ac:dyDescent="0.2">
      <c r="B347" t="s">
        <v>182</v>
      </c>
      <c r="C347">
        <v>31668</v>
      </c>
    </row>
    <row r="348" spans="1:3" x14ac:dyDescent="0.2">
      <c r="B348" t="s">
        <v>183</v>
      </c>
      <c r="C348">
        <v>31721</v>
      </c>
    </row>
    <row r="349" spans="1:3" x14ac:dyDescent="0.2">
      <c r="B349" t="s">
        <v>197</v>
      </c>
      <c r="C349">
        <v>23016</v>
      </c>
    </row>
    <row r="350" spans="1:3" x14ac:dyDescent="0.2">
      <c r="B350" t="s">
        <v>198</v>
      </c>
      <c r="C350">
        <v>16718</v>
      </c>
    </row>
    <row r="351" spans="1:3" x14ac:dyDescent="0.2">
      <c r="B351" t="s">
        <v>199</v>
      </c>
      <c r="C351">
        <v>11428</v>
      </c>
    </row>
    <row r="352" spans="1:3" x14ac:dyDescent="0.2">
      <c r="A352" t="s">
        <v>83</v>
      </c>
      <c r="C352">
        <v>383094</v>
      </c>
    </row>
    <row r="353" spans="1:3" x14ac:dyDescent="0.2">
      <c r="A353" t="s">
        <v>27</v>
      </c>
      <c r="B353" t="s">
        <v>175</v>
      </c>
      <c r="C353">
        <v>24678</v>
      </c>
    </row>
    <row r="354" spans="1:3" x14ac:dyDescent="0.2">
      <c r="B354" t="s">
        <v>176</v>
      </c>
      <c r="C354">
        <v>21955</v>
      </c>
    </row>
    <row r="355" spans="1:3" x14ac:dyDescent="0.2">
      <c r="B355" t="s">
        <v>177</v>
      </c>
      <c r="C355">
        <v>16895</v>
      </c>
    </row>
    <row r="356" spans="1:3" x14ac:dyDescent="0.2">
      <c r="B356" t="s">
        <v>178</v>
      </c>
      <c r="C356">
        <v>22418</v>
      </c>
    </row>
    <row r="357" spans="1:3" x14ac:dyDescent="0.2">
      <c r="B357" t="s">
        <v>179</v>
      </c>
      <c r="C357">
        <v>32196</v>
      </c>
    </row>
    <row r="358" spans="1:3" x14ac:dyDescent="0.2">
      <c r="B358" t="s">
        <v>180</v>
      </c>
      <c r="C358">
        <v>16310</v>
      </c>
    </row>
    <row r="359" spans="1:3" x14ac:dyDescent="0.2">
      <c r="B359" t="s">
        <v>181</v>
      </c>
      <c r="C359">
        <v>14386</v>
      </c>
    </row>
    <row r="360" spans="1:3" x14ac:dyDescent="0.2">
      <c r="B360" t="s">
        <v>182</v>
      </c>
      <c r="C360">
        <v>16949</v>
      </c>
    </row>
    <row r="361" spans="1:3" x14ac:dyDescent="0.2">
      <c r="B361" t="s">
        <v>183</v>
      </c>
      <c r="C361">
        <v>18677</v>
      </c>
    </row>
    <row r="362" spans="1:3" x14ac:dyDescent="0.2">
      <c r="B362" t="s">
        <v>197</v>
      </c>
      <c r="C362">
        <v>17284</v>
      </c>
    </row>
    <row r="363" spans="1:3" x14ac:dyDescent="0.2">
      <c r="B363" t="s">
        <v>198</v>
      </c>
      <c r="C363">
        <v>19712</v>
      </c>
    </row>
    <row r="364" spans="1:3" x14ac:dyDescent="0.2">
      <c r="B364" t="s">
        <v>199</v>
      </c>
      <c r="C364">
        <v>29867</v>
      </c>
    </row>
    <row r="365" spans="1:3" x14ac:dyDescent="0.2">
      <c r="A365" t="s">
        <v>84</v>
      </c>
      <c r="C365">
        <v>251327</v>
      </c>
    </row>
    <row r="366" spans="1:3" x14ac:dyDescent="0.2">
      <c r="A366" t="s">
        <v>28</v>
      </c>
      <c r="B366" t="s">
        <v>175</v>
      </c>
      <c r="C366">
        <v>58107</v>
      </c>
    </row>
    <row r="367" spans="1:3" x14ac:dyDescent="0.2">
      <c r="B367" t="s">
        <v>176</v>
      </c>
      <c r="C367">
        <v>42581</v>
      </c>
    </row>
    <row r="368" spans="1:3" x14ac:dyDescent="0.2">
      <c r="B368" t="s">
        <v>177</v>
      </c>
      <c r="C368">
        <v>59011</v>
      </c>
    </row>
    <row r="369" spans="1:3" x14ac:dyDescent="0.2">
      <c r="B369" t="s">
        <v>178</v>
      </c>
      <c r="C369">
        <v>60537</v>
      </c>
    </row>
    <row r="370" spans="1:3" x14ac:dyDescent="0.2">
      <c r="B370" t="s">
        <v>179</v>
      </c>
      <c r="C370">
        <v>89084</v>
      </c>
    </row>
    <row r="371" spans="1:3" x14ac:dyDescent="0.2">
      <c r="B371" t="s">
        <v>180</v>
      </c>
      <c r="C371">
        <v>55227</v>
      </c>
    </row>
    <row r="372" spans="1:3" x14ac:dyDescent="0.2">
      <c r="B372" t="s">
        <v>181</v>
      </c>
      <c r="C372">
        <v>38983</v>
      </c>
    </row>
    <row r="373" spans="1:3" x14ac:dyDescent="0.2">
      <c r="B373" t="s">
        <v>182</v>
      </c>
      <c r="C373">
        <v>40498</v>
      </c>
    </row>
    <row r="374" spans="1:3" x14ac:dyDescent="0.2">
      <c r="B374" t="s">
        <v>183</v>
      </c>
      <c r="C374">
        <v>33516</v>
      </c>
    </row>
    <row r="375" spans="1:3" x14ac:dyDescent="0.2">
      <c r="B375" t="s">
        <v>197</v>
      </c>
      <c r="C375">
        <v>34607</v>
      </c>
    </row>
    <row r="376" spans="1:3" x14ac:dyDescent="0.2">
      <c r="B376" t="s">
        <v>198</v>
      </c>
      <c r="C376">
        <v>32767</v>
      </c>
    </row>
    <row r="377" spans="1:3" x14ac:dyDescent="0.2">
      <c r="B377" t="s">
        <v>199</v>
      </c>
      <c r="C377">
        <v>46816</v>
      </c>
    </row>
    <row r="378" spans="1:3" x14ac:dyDescent="0.2">
      <c r="A378" t="s">
        <v>85</v>
      </c>
      <c r="C378">
        <v>591734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78"/>
  <sheetViews>
    <sheetView topLeftCell="A351" workbookViewId="0">
      <selection activeCell="E24" sqref="E24"/>
    </sheetView>
  </sheetViews>
  <sheetFormatPr baseColWidth="10" defaultColWidth="8.83203125" defaultRowHeight="15" x14ac:dyDescent="0.2"/>
  <cols>
    <col min="1" max="1" width="28.83203125" customWidth="1"/>
    <col min="2" max="2" width="14.5" bestFit="1" customWidth="1"/>
    <col min="3" max="3" width="12.83203125" bestFit="1" customWidth="1"/>
  </cols>
  <sheetData>
    <row r="1" spans="1:3" s="3" customFormat="1" x14ac:dyDescent="0.2">
      <c r="A1" s="3" t="s">
        <v>30</v>
      </c>
      <c r="B1" s="3" t="s">
        <v>43</v>
      </c>
      <c r="C1" s="3" t="s">
        <v>196</v>
      </c>
    </row>
    <row r="2" spans="1:3" x14ac:dyDescent="0.2">
      <c r="A2" t="s">
        <v>0</v>
      </c>
      <c r="B2" t="s">
        <v>184</v>
      </c>
      <c r="C2">
        <v>7077</v>
      </c>
    </row>
    <row r="3" spans="1:3" x14ac:dyDescent="0.2">
      <c r="B3" t="s">
        <v>185</v>
      </c>
      <c r="C3">
        <v>8425</v>
      </c>
    </row>
    <row r="4" spans="1:3" x14ac:dyDescent="0.2">
      <c r="B4" t="s">
        <v>186</v>
      </c>
      <c r="C4">
        <v>7211</v>
      </c>
    </row>
    <row r="5" spans="1:3" x14ac:dyDescent="0.2">
      <c r="B5" t="s">
        <v>187</v>
      </c>
      <c r="C5">
        <v>12969</v>
      </c>
    </row>
    <row r="6" spans="1:3" x14ac:dyDescent="0.2">
      <c r="B6" t="s">
        <v>188</v>
      </c>
      <c r="C6">
        <v>8523</v>
      </c>
    </row>
    <row r="7" spans="1:3" x14ac:dyDescent="0.2">
      <c r="B7" t="s">
        <v>189</v>
      </c>
      <c r="C7">
        <v>3905</v>
      </c>
    </row>
    <row r="8" spans="1:3" x14ac:dyDescent="0.2">
      <c r="B8" t="s">
        <v>190</v>
      </c>
      <c r="C8">
        <v>2281</v>
      </c>
    </row>
    <row r="9" spans="1:3" x14ac:dyDescent="0.2">
      <c r="B9" t="s">
        <v>191</v>
      </c>
      <c r="C9">
        <v>1890</v>
      </c>
    </row>
    <row r="10" spans="1:3" x14ac:dyDescent="0.2">
      <c r="B10" t="s">
        <v>192</v>
      </c>
      <c r="C10">
        <v>1334</v>
      </c>
    </row>
    <row r="11" spans="1:3" x14ac:dyDescent="0.2">
      <c r="B11" t="s">
        <v>193</v>
      </c>
      <c r="C11">
        <v>1677</v>
      </c>
    </row>
    <row r="12" spans="1:3" x14ac:dyDescent="0.2">
      <c r="B12" t="s">
        <v>194</v>
      </c>
      <c r="C12">
        <v>1416</v>
      </c>
    </row>
    <row r="13" spans="1:3" x14ac:dyDescent="0.2">
      <c r="B13" t="s">
        <v>195</v>
      </c>
      <c r="C13">
        <v>3818</v>
      </c>
    </row>
    <row r="14" spans="1:3" x14ac:dyDescent="0.2">
      <c r="A14" t="s">
        <v>57</v>
      </c>
      <c r="C14">
        <v>60526</v>
      </c>
    </row>
    <row r="15" spans="1:3" x14ac:dyDescent="0.2">
      <c r="A15" t="s">
        <v>1</v>
      </c>
      <c r="B15" t="s">
        <v>184</v>
      </c>
      <c r="C15">
        <v>36278</v>
      </c>
    </row>
    <row r="16" spans="1:3" x14ac:dyDescent="0.2">
      <c r="B16" t="s">
        <v>185</v>
      </c>
      <c r="C16">
        <v>29114</v>
      </c>
    </row>
    <row r="17" spans="1:3" x14ac:dyDescent="0.2">
      <c r="B17" t="s">
        <v>186</v>
      </c>
      <c r="C17">
        <v>25446</v>
      </c>
    </row>
    <row r="18" spans="1:3" x14ac:dyDescent="0.2">
      <c r="B18" t="s">
        <v>187</v>
      </c>
      <c r="C18">
        <v>28261</v>
      </c>
    </row>
    <row r="19" spans="1:3" x14ac:dyDescent="0.2">
      <c r="B19" t="s">
        <v>188</v>
      </c>
      <c r="C19">
        <v>21061</v>
      </c>
    </row>
    <row r="20" spans="1:3" x14ac:dyDescent="0.2">
      <c r="B20" t="s">
        <v>189</v>
      </c>
      <c r="C20">
        <v>15813</v>
      </c>
    </row>
    <row r="21" spans="1:3" x14ac:dyDescent="0.2">
      <c r="B21" t="s">
        <v>190</v>
      </c>
      <c r="C21">
        <v>11535</v>
      </c>
    </row>
    <row r="22" spans="1:3" x14ac:dyDescent="0.2">
      <c r="B22" t="s">
        <v>191</v>
      </c>
      <c r="C22">
        <v>6698</v>
      </c>
    </row>
    <row r="23" spans="1:3" x14ac:dyDescent="0.2">
      <c r="B23" t="s">
        <v>192</v>
      </c>
      <c r="C23">
        <v>6652</v>
      </c>
    </row>
    <row r="24" spans="1:3" x14ac:dyDescent="0.2">
      <c r="B24" t="s">
        <v>193</v>
      </c>
      <c r="C24">
        <v>9641</v>
      </c>
    </row>
    <row r="25" spans="1:3" x14ac:dyDescent="0.2">
      <c r="B25" t="s">
        <v>194</v>
      </c>
      <c r="C25">
        <v>6685</v>
      </c>
    </row>
    <row r="26" spans="1:3" x14ac:dyDescent="0.2">
      <c r="B26" t="s">
        <v>195</v>
      </c>
      <c r="C26">
        <v>6816</v>
      </c>
    </row>
    <row r="27" spans="1:3" x14ac:dyDescent="0.2">
      <c r="A27" t="s">
        <v>58</v>
      </c>
      <c r="C27">
        <v>204000</v>
      </c>
    </row>
    <row r="28" spans="1:3" x14ac:dyDescent="0.2">
      <c r="A28" t="s">
        <v>2</v>
      </c>
      <c r="B28" t="s">
        <v>184</v>
      </c>
      <c r="C28">
        <v>12220</v>
      </c>
    </row>
    <row r="29" spans="1:3" x14ac:dyDescent="0.2">
      <c r="B29" t="s">
        <v>185</v>
      </c>
      <c r="C29">
        <v>16592</v>
      </c>
    </row>
    <row r="30" spans="1:3" x14ac:dyDescent="0.2">
      <c r="B30" t="s">
        <v>186</v>
      </c>
      <c r="C30">
        <v>20731</v>
      </c>
    </row>
    <row r="31" spans="1:3" x14ac:dyDescent="0.2">
      <c r="B31" t="s">
        <v>187</v>
      </c>
      <c r="C31">
        <v>20070</v>
      </c>
    </row>
    <row r="32" spans="1:3" x14ac:dyDescent="0.2">
      <c r="B32" t="s">
        <v>188</v>
      </c>
      <c r="C32">
        <v>12853</v>
      </c>
    </row>
    <row r="33" spans="1:3" x14ac:dyDescent="0.2">
      <c r="B33" t="s">
        <v>189</v>
      </c>
      <c r="C33">
        <v>11804</v>
      </c>
    </row>
    <row r="34" spans="1:3" x14ac:dyDescent="0.2">
      <c r="B34" t="s">
        <v>190</v>
      </c>
      <c r="C34">
        <v>8040</v>
      </c>
    </row>
    <row r="35" spans="1:3" x14ac:dyDescent="0.2">
      <c r="B35" t="s">
        <v>191</v>
      </c>
      <c r="C35">
        <v>7331</v>
      </c>
    </row>
    <row r="36" spans="1:3" x14ac:dyDescent="0.2">
      <c r="B36" t="s">
        <v>192</v>
      </c>
      <c r="C36">
        <v>6638</v>
      </c>
    </row>
    <row r="37" spans="1:3" x14ac:dyDescent="0.2">
      <c r="B37" t="s">
        <v>193</v>
      </c>
      <c r="C37">
        <v>5277</v>
      </c>
    </row>
    <row r="38" spans="1:3" x14ac:dyDescent="0.2">
      <c r="B38" t="s">
        <v>194</v>
      </c>
      <c r="C38">
        <v>3050</v>
      </c>
    </row>
    <row r="39" spans="1:3" x14ac:dyDescent="0.2">
      <c r="B39" t="s">
        <v>195</v>
      </c>
      <c r="C39">
        <v>6235</v>
      </c>
    </row>
    <row r="40" spans="1:3" x14ac:dyDescent="0.2">
      <c r="A40" t="s">
        <v>59</v>
      </c>
      <c r="C40">
        <v>130841</v>
      </c>
    </row>
    <row r="41" spans="1:3" x14ac:dyDescent="0.2">
      <c r="A41" t="s">
        <v>3</v>
      </c>
      <c r="B41" t="s">
        <v>184</v>
      </c>
      <c r="C41">
        <v>12754</v>
      </c>
    </row>
    <row r="42" spans="1:3" x14ac:dyDescent="0.2">
      <c r="B42" t="s">
        <v>185</v>
      </c>
      <c r="C42">
        <v>11796</v>
      </c>
    </row>
    <row r="43" spans="1:3" x14ac:dyDescent="0.2">
      <c r="B43" t="s">
        <v>186</v>
      </c>
      <c r="C43">
        <v>9444</v>
      </c>
    </row>
    <row r="44" spans="1:3" x14ac:dyDescent="0.2">
      <c r="B44" t="s">
        <v>187</v>
      </c>
      <c r="C44">
        <v>8793</v>
      </c>
    </row>
    <row r="45" spans="1:3" x14ac:dyDescent="0.2">
      <c r="B45" t="s">
        <v>188</v>
      </c>
      <c r="C45">
        <v>6989</v>
      </c>
    </row>
    <row r="46" spans="1:3" x14ac:dyDescent="0.2">
      <c r="B46" t="s">
        <v>189</v>
      </c>
      <c r="C46">
        <v>2490</v>
      </c>
    </row>
    <row r="47" spans="1:3" x14ac:dyDescent="0.2">
      <c r="B47" t="s">
        <v>190</v>
      </c>
      <c r="C47">
        <v>1343</v>
      </c>
    </row>
    <row r="48" spans="1:3" x14ac:dyDescent="0.2">
      <c r="B48" t="s">
        <v>191</v>
      </c>
      <c r="C48">
        <v>720</v>
      </c>
    </row>
    <row r="49" spans="1:3" x14ac:dyDescent="0.2">
      <c r="B49" t="s">
        <v>192</v>
      </c>
      <c r="C49">
        <v>659</v>
      </c>
    </row>
    <row r="50" spans="1:3" x14ac:dyDescent="0.2">
      <c r="B50" t="s">
        <v>193</v>
      </c>
      <c r="C50">
        <v>892</v>
      </c>
    </row>
    <row r="51" spans="1:3" x14ac:dyDescent="0.2">
      <c r="B51" t="s">
        <v>194</v>
      </c>
      <c r="C51">
        <v>879</v>
      </c>
    </row>
    <row r="52" spans="1:3" x14ac:dyDescent="0.2">
      <c r="B52" t="s">
        <v>195</v>
      </c>
      <c r="C52">
        <v>1310</v>
      </c>
    </row>
    <row r="53" spans="1:3" x14ac:dyDescent="0.2">
      <c r="A53" t="s">
        <v>60</v>
      </c>
      <c r="C53">
        <v>58069</v>
      </c>
    </row>
    <row r="54" spans="1:3" x14ac:dyDescent="0.2">
      <c r="A54" t="s">
        <v>4</v>
      </c>
      <c r="B54" t="s">
        <v>184</v>
      </c>
      <c r="C54">
        <v>11472</v>
      </c>
    </row>
    <row r="55" spans="1:3" x14ac:dyDescent="0.2">
      <c r="B55" t="s">
        <v>185</v>
      </c>
      <c r="C55">
        <v>7522</v>
      </c>
    </row>
    <row r="56" spans="1:3" x14ac:dyDescent="0.2">
      <c r="B56" t="s">
        <v>186</v>
      </c>
      <c r="C56">
        <v>7910</v>
      </c>
    </row>
    <row r="57" spans="1:3" x14ac:dyDescent="0.2">
      <c r="B57" t="s">
        <v>187</v>
      </c>
      <c r="C57">
        <v>10070</v>
      </c>
    </row>
    <row r="58" spans="1:3" x14ac:dyDescent="0.2">
      <c r="B58" t="s">
        <v>188</v>
      </c>
      <c r="C58">
        <v>10309</v>
      </c>
    </row>
    <row r="59" spans="1:3" x14ac:dyDescent="0.2">
      <c r="B59" t="s">
        <v>189</v>
      </c>
      <c r="C59">
        <v>8483</v>
      </c>
    </row>
    <row r="60" spans="1:3" x14ac:dyDescent="0.2">
      <c r="B60" t="s">
        <v>190</v>
      </c>
      <c r="C60">
        <v>4531</v>
      </c>
    </row>
    <row r="61" spans="1:3" x14ac:dyDescent="0.2">
      <c r="B61" t="s">
        <v>191</v>
      </c>
      <c r="C61">
        <v>1676</v>
      </c>
    </row>
    <row r="62" spans="1:3" x14ac:dyDescent="0.2">
      <c r="B62" t="s">
        <v>192</v>
      </c>
      <c r="C62">
        <v>1235</v>
      </c>
    </row>
    <row r="63" spans="1:3" x14ac:dyDescent="0.2">
      <c r="B63" t="s">
        <v>193</v>
      </c>
      <c r="C63">
        <v>1230</v>
      </c>
    </row>
    <row r="64" spans="1:3" x14ac:dyDescent="0.2">
      <c r="B64" t="s">
        <v>194</v>
      </c>
      <c r="C64">
        <v>1071</v>
      </c>
    </row>
    <row r="65" spans="1:3" x14ac:dyDescent="0.2">
      <c r="B65" t="s">
        <v>195</v>
      </c>
      <c r="C65">
        <v>1916</v>
      </c>
    </row>
    <row r="66" spans="1:3" x14ac:dyDescent="0.2">
      <c r="A66" t="s">
        <v>61</v>
      </c>
      <c r="C66">
        <v>67425</v>
      </c>
    </row>
    <row r="67" spans="1:3" x14ac:dyDescent="0.2">
      <c r="A67" t="s">
        <v>5</v>
      </c>
      <c r="B67" t="s">
        <v>184</v>
      </c>
      <c r="C67">
        <v>36636</v>
      </c>
    </row>
    <row r="68" spans="1:3" x14ac:dyDescent="0.2">
      <c r="B68" t="s">
        <v>185</v>
      </c>
      <c r="C68">
        <v>42144</v>
      </c>
    </row>
    <row r="69" spans="1:3" x14ac:dyDescent="0.2">
      <c r="B69" t="s">
        <v>186</v>
      </c>
      <c r="C69">
        <v>39940</v>
      </c>
    </row>
    <row r="70" spans="1:3" x14ac:dyDescent="0.2">
      <c r="B70" t="s">
        <v>187</v>
      </c>
      <c r="C70">
        <v>40731</v>
      </c>
    </row>
    <row r="71" spans="1:3" x14ac:dyDescent="0.2">
      <c r="B71" t="s">
        <v>188</v>
      </c>
      <c r="C71">
        <v>27950</v>
      </c>
    </row>
    <row r="72" spans="1:3" x14ac:dyDescent="0.2">
      <c r="B72" t="s">
        <v>189</v>
      </c>
      <c r="C72">
        <v>15877</v>
      </c>
    </row>
    <row r="73" spans="1:3" x14ac:dyDescent="0.2">
      <c r="B73" t="s">
        <v>190</v>
      </c>
      <c r="C73">
        <v>10006</v>
      </c>
    </row>
    <row r="74" spans="1:3" x14ac:dyDescent="0.2">
      <c r="B74" t="s">
        <v>191</v>
      </c>
      <c r="C74">
        <v>5415</v>
      </c>
    </row>
    <row r="75" spans="1:3" x14ac:dyDescent="0.2">
      <c r="B75" t="s">
        <v>192</v>
      </c>
      <c r="C75">
        <v>3920</v>
      </c>
    </row>
    <row r="76" spans="1:3" x14ac:dyDescent="0.2">
      <c r="B76" t="s">
        <v>193</v>
      </c>
      <c r="C76">
        <v>4540</v>
      </c>
    </row>
    <row r="77" spans="1:3" x14ac:dyDescent="0.2">
      <c r="B77" t="s">
        <v>194</v>
      </c>
      <c r="C77">
        <v>4273</v>
      </c>
    </row>
    <row r="78" spans="1:3" x14ac:dyDescent="0.2">
      <c r="B78" t="s">
        <v>195</v>
      </c>
      <c r="C78">
        <v>8804</v>
      </c>
    </row>
    <row r="79" spans="1:3" x14ac:dyDescent="0.2">
      <c r="A79" t="s">
        <v>62</v>
      </c>
      <c r="C79">
        <v>240236</v>
      </c>
    </row>
    <row r="80" spans="1:3" x14ac:dyDescent="0.2">
      <c r="A80" t="s">
        <v>6</v>
      </c>
      <c r="B80" t="s">
        <v>184</v>
      </c>
      <c r="C80">
        <v>54983</v>
      </c>
    </row>
    <row r="81" spans="1:3" x14ac:dyDescent="0.2">
      <c r="B81" t="s">
        <v>185</v>
      </c>
      <c r="C81">
        <v>58346</v>
      </c>
    </row>
    <row r="82" spans="1:3" x14ac:dyDescent="0.2">
      <c r="B82" t="s">
        <v>186</v>
      </c>
      <c r="C82">
        <v>50825</v>
      </c>
    </row>
    <row r="83" spans="1:3" x14ac:dyDescent="0.2">
      <c r="B83" t="s">
        <v>187</v>
      </c>
      <c r="C83">
        <v>53047</v>
      </c>
    </row>
    <row r="84" spans="1:3" x14ac:dyDescent="0.2">
      <c r="B84" t="s">
        <v>188</v>
      </c>
      <c r="C84">
        <v>21642</v>
      </c>
    </row>
    <row r="85" spans="1:3" x14ac:dyDescent="0.2">
      <c r="B85" t="s">
        <v>189</v>
      </c>
      <c r="C85">
        <v>13440</v>
      </c>
    </row>
    <row r="86" spans="1:3" x14ac:dyDescent="0.2">
      <c r="B86" t="s">
        <v>190</v>
      </c>
      <c r="C86">
        <v>9144</v>
      </c>
    </row>
    <row r="87" spans="1:3" x14ac:dyDescent="0.2">
      <c r="B87" t="s">
        <v>191</v>
      </c>
      <c r="C87">
        <v>4153</v>
      </c>
    </row>
    <row r="88" spans="1:3" x14ac:dyDescent="0.2">
      <c r="B88" t="s">
        <v>192</v>
      </c>
      <c r="C88">
        <v>2306</v>
      </c>
    </row>
    <row r="89" spans="1:3" x14ac:dyDescent="0.2">
      <c r="B89" t="s">
        <v>193</v>
      </c>
      <c r="C89">
        <v>3292</v>
      </c>
    </row>
    <row r="90" spans="1:3" x14ac:dyDescent="0.2">
      <c r="B90" t="s">
        <v>194</v>
      </c>
      <c r="C90">
        <v>2538</v>
      </c>
    </row>
    <row r="91" spans="1:3" x14ac:dyDescent="0.2">
      <c r="B91" t="s">
        <v>195</v>
      </c>
      <c r="C91">
        <v>3822</v>
      </c>
    </row>
    <row r="92" spans="1:3" x14ac:dyDescent="0.2">
      <c r="A92" t="s">
        <v>63</v>
      </c>
      <c r="C92">
        <v>277538</v>
      </c>
    </row>
    <row r="93" spans="1:3" x14ac:dyDescent="0.2">
      <c r="A93" t="s">
        <v>7</v>
      </c>
      <c r="B93" t="s">
        <v>184</v>
      </c>
      <c r="C93">
        <v>15355</v>
      </c>
    </row>
    <row r="94" spans="1:3" x14ac:dyDescent="0.2">
      <c r="B94" t="s">
        <v>185</v>
      </c>
      <c r="C94">
        <v>20505</v>
      </c>
    </row>
    <row r="95" spans="1:3" x14ac:dyDescent="0.2">
      <c r="B95" t="s">
        <v>186</v>
      </c>
      <c r="C95">
        <v>15353</v>
      </c>
    </row>
    <row r="96" spans="1:3" x14ac:dyDescent="0.2">
      <c r="B96" t="s">
        <v>187</v>
      </c>
      <c r="C96">
        <v>19652</v>
      </c>
    </row>
    <row r="97" spans="1:3" x14ac:dyDescent="0.2">
      <c r="B97" t="s">
        <v>188</v>
      </c>
      <c r="C97">
        <v>17399</v>
      </c>
    </row>
    <row r="98" spans="1:3" x14ac:dyDescent="0.2">
      <c r="B98" t="s">
        <v>189</v>
      </c>
      <c r="C98">
        <v>15018</v>
      </c>
    </row>
    <row r="99" spans="1:3" x14ac:dyDescent="0.2">
      <c r="B99" t="s">
        <v>190</v>
      </c>
      <c r="C99">
        <v>10731</v>
      </c>
    </row>
    <row r="100" spans="1:3" x14ac:dyDescent="0.2">
      <c r="B100" t="s">
        <v>191</v>
      </c>
      <c r="C100">
        <v>6752</v>
      </c>
    </row>
    <row r="101" spans="1:3" x14ac:dyDescent="0.2">
      <c r="B101" t="s">
        <v>192</v>
      </c>
      <c r="C101">
        <v>4294</v>
      </c>
    </row>
    <row r="102" spans="1:3" x14ac:dyDescent="0.2">
      <c r="B102" t="s">
        <v>193</v>
      </c>
      <c r="C102">
        <v>3446</v>
      </c>
    </row>
    <row r="103" spans="1:3" x14ac:dyDescent="0.2">
      <c r="B103" t="s">
        <v>194</v>
      </c>
      <c r="C103">
        <v>2366</v>
      </c>
    </row>
    <row r="104" spans="1:3" x14ac:dyDescent="0.2">
      <c r="B104" t="s">
        <v>195</v>
      </c>
      <c r="C104">
        <v>1663</v>
      </c>
    </row>
    <row r="105" spans="1:3" x14ac:dyDescent="0.2">
      <c r="A105" t="s">
        <v>64</v>
      </c>
      <c r="C105">
        <v>132534</v>
      </c>
    </row>
    <row r="106" spans="1:3" x14ac:dyDescent="0.2">
      <c r="A106" t="s">
        <v>8</v>
      </c>
      <c r="B106" t="s">
        <v>184</v>
      </c>
      <c r="C106">
        <v>75297</v>
      </c>
    </row>
    <row r="107" spans="1:3" x14ac:dyDescent="0.2">
      <c r="B107" t="s">
        <v>185</v>
      </c>
      <c r="C107">
        <v>71917</v>
      </c>
    </row>
    <row r="108" spans="1:3" x14ac:dyDescent="0.2">
      <c r="B108" t="s">
        <v>186</v>
      </c>
      <c r="C108">
        <v>78304</v>
      </c>
    </row>
    <row r="109" spans="1:3" x14ac:dyDescent="0.2">
      <c r="B109" t="s">
        <v>187</v>
      </c>
      <c r="C109">
        <v>59869</v>
      </c>
    </row>
    <row r="110" spans="1:3" x14ac:dyDescent="0.2">
      <c r="B110" t="s">
        <v>188</v>
      </c>
      <c r="C110">
        <v>61281</v>
      </c>
    </row>
    <row r="111" spans="1:3" x14ac:dyDescent="0.2">
      <c r="B111" t="s">
        <v>189</v>
      </c>
      <c r="C111">
        <v>25121</v>
      </c>
    </row>
    <row r="112" spans="1:3" x14ac:dyDescent="0.2">
      <c r="B112" t="s">
        <v>190</v>
      </c>
      <c r="C112">
        <v>273648</v>
      </c>
    </row>
    <row r="113" spans="1:3" x14ac:dyDescent="0.2">
      <c r="B113" t="s">
        <v>191</v>
      </c>
      <c r="C113">
        <v>8342</v>
      </c>
    </row>
    <row r="114" spans="1:3" x14ac:dyDescent="0.2">
      <c r="B114" t="s">
        <v>192</v>
      </c>
      <c r="C114">
        <v>6416</v>
      </c>
    </row>
    <row r="115" spans="1:3" x14ac:dyDescent="0.2">
      <c r="B115" t="s">
        <v>193</v>
      </c>
      <c r="C115">
        <v>7472</v>
      </c>
    </row>
    <row r="116" spans="1:3" x14ac:dyDescent="0.2">
      <c r="B116" t="s">
        <v>194</v>
      </c>
      <c r="C116">
        <v>5936</v>
      </c>
    </row>
    <row r="117" spans="1:3" x14ac:dyDescent="0.2">
      <c r="B117" t="s">
        <v>195</v>
      </c>
      <c r="C117">
        <v>6654</v>
      </c>
    </row>
    <row r="118" spans="1:3" x14ac:dyDescent="0.2">
      <c r="A118" t="s">
        <v>65</v>
      </c>
      <c r="C118">
        <v>680257</v>
      </c>
    </row>
    <row r="119" spans="1:3" x14ac:dyDescent="0.2">
      <c r="A119" t="s">
        <v>9</v>
      </c>
      <c r="B119" t="s">
        <v>184</v>
      </c>
      <c r="C119">
        <v>165</v>
      </c>
    </row>
    <row r="120" spans="1:3" x14ac:dyDescent="0.2">
      <c r="B120" t="s">
        <v>185</v>
      </c>
      <c r="C120">
        <v>206</v>
      </c>
    </row>
    <row r="121" spans="1:3" x14ac:dyDescent="0.2">
      <c r="B121" t="s">
        <v>186</v>
      </c>
      <c r="C121">
        <v>234</v>
      </c>
    </row>
    <row r="122" spans="1:3" x14ac:dyDescent="0.2">
      <c r="B122" t="s">
        <v>187</v>
      </c>
      <c r="C122">
        <v>181</v>
      </c>
    </row>
    <row r="123" spans="1:3" x14ac:dyDescent="0.2">
      <c r="B123" t="s">
        <v>188</v>
      </c>
      <c r="C123">
        <v>339</v>
      </c>
    </row>
    <row r="124" spans="1:3" x14ac:dyDescent="0.2">
      <c r="B124" t="s">
        <v>189</v>
      </c>
      <c r="C124">
        <v>284</v>
      </c>
    </row>
    <row r="125" spans="1:3" x14ac:dyDescent="0.2">
      <c r="B125" t="s">
        <v>190</v>
      </c>
      <c r="C125">
        <v>169</v>
      </c>
    </row>
    <row r="126" spans="1:3" x14ac:dyDescent="0.2">
      <c r="B126" t="s">
        <v>191</v>
      </c>
      <c r="C126">
        <v>103</v>
      </c>
    </row>
    <row r="127" spans="1:3" x14ac:dyDescent="0.2">
      <c r="B127" t="s">
        <v>192</v>
      </c>
      <c r="C127">
        <v>114</v>
      </c>
    </row>
    <row r="128" spans="1:3" x14ac:dyDescent="0.2">
      <c r="B128" t="s">
        <v>193</v>
      </c>
      <c r="C128">
        <v>88</v>
      </c>
    </row>
    <row r="129" spans="1:3" x14ac:dyDescent="0.2">
      <c r="B129" t="s">
        <v>194</v>
      </c>
      <c r="C129">
        <v>58</v>
      </c>
    </row>
    <row r="130" spans="1:3" x14ac:dyDescent="0.2">
      <c r="B130" t="s">
        <v>195</v>
      </c>
      <c r="C130">
        <v>82</v>
      </c>
    </row>
    <row r="131" spans="1:3" x14ac:dyDescent="0.2">
      <c r="A131" t="s">
        <v>66</v>
      </c>
      <c r="C131">
        <v>2023</v>
      </c>
    </row>
    <row r="132" spans="1:3" x14ac:dyDescent="0.2">
      <c r="A132" t="s">
        <v>10</v>
      </c>
      <c r="B132" t="s">
        <v>184</v>
      </c>
      <c r="C132">
        <v>129336</v>
      </c>
    </row>
    <row r="133" spans="1:3" x14ac:dyDescent="0.2">
      <c r="B133" t="s">
        <v>185</v>
      </c>
      <c r="C133">
        <v>133353</v>
      </c>
    </row>
    <row r="134" spans="1:3" x14ac:dyDescent="0.2">
      <c r="B134" t="s">
        <v>186</v>
      </c>
      <c r="C134">
        <v>135773</v>
      </c>
    </row>
    <row r="135" spans="1:3" x14ac:dyDescent="0.2">
      <c r="B135" t="s">
        <v>187</v>
      </c>
      <c r="C135">
        <v>110694</v>
      </c>
    </row>
    <row r="136" spans="1:3" x14ac:dyDescent="0.2">
      <c r="B136" t="s">
        <v>188</v>
      </c>
      <c r="C136">
        <v>56686</v>
      </c>
    </row>
    <row r="137" spans="1:3" x14ac:dyDescent="0.2">
      <c r="B137" t="s">
        <v>189</v>
      </c>
      <c r="C137">
        <v>32424</v>
      </c>
    </row>
    <row r="138" spans="1:3" x14ac:dyDescent="0.2">
      <c r="B138" t="s">
        <v>190</v>
      </c>
      <c r="C138">
        <v>21131</v>
      </c>
    </row>
    <row r="139" spans="1:3" x14ac:dyDescent="0.2">
      <c r="B139" t="s">
        <v>191</v>
      </c>
      <c r="C139">
        <v>12866</v>
      </c>
    </row>
    <row r="140" spans="1:3" x14ac:dyDescent="0.2">
      <c r="B140" t="s">
        <v>192</v>
      </c>
      <c r="C140">
        <v>12809</v>
      </c>
    </row>
    <row r="141" spans="1:3" x14ac:dyDescent="0.2">
      <c r="B141" t="s">
        <v>193</v>
      </c>
      <c r="C141">
        <v>11056</v>
      </c>
    </row>
    <row r="142" spans="1:3" x14ac:dyDescent="0.2">
      <c r="B142" t="s">
        <v>194</v>
      </c>
      <c r="C142">
        <v>10534</v>
      </c>
    </row>
    <row r="143" spans="1:3" x14ac:dyDescent="0.2">
      <c r="B143" t="s">
        <v>195</v>
      </c>
      <c r="C143">
        <v>13682</v>
      </c>
    </row>
    <row r="144" spans="1:3" x14ac:dyDescent="0.2">
      <c r="A144" t="s">
        <v>67</v>
      </c>
      <c r="C144">
        <v>680344</v>
      </c>
    </row>
    <row r="145" spans="1:3" x14ac:dyDescent="0.2">
      <c r="A145" t="s">
        <v>11</v>
      </c>
      <c r="B145" t="s">
        <v>184</v>
      </c>
      <c r="C145">
        <v>22994</v>
      </c>
    </row>
    <row r="146" spans="1:3" x14ac:dyDescent="0.2">
      <c r="B146" t="s">
        <v>185</v>
      </c>
      <c r="C146">
        <v>22849</v>
      </c>
    </row>
    <row r="147" spans="1:3" x14ac:dyDescent="0.2">
      <c r="B147" t="s">
        <v>186</v>
      </c>
      <c r="C147">
        <v>18838</v>
      </c>
    </row>
    <row r="148" spans="1:3" x14ac:dyDescent="0.2">
      <c r="B148" t="s">
        <v>187</v>
      </c>
      <c r="C148">
        <v>21514</v>
      </c>
    </row>
    <row r="149" spans="1:3" x14ac:dyDescent="0.2">
      <c r="B149" t="s">
        <v>188</v>
      </c>
      <c r="C149">
        <v>19682</v>
      </c>
    </row>
    <row r="150" spans="1:3" x14ac:dyDescent="0.2">
      <c r="B150" t="s">
        <v>189</v>
      </c>
      <c r="C150">
        <v>15886</v>
      </c>
    </row>
    <row r="151" spans="1:3" x14ac:dyDescent="0.2">
      <c r="B151" t="s">
        <v>190</v>
      </c>
      <c r="C151">
        <v>11594</v>
      </c>
    </row>
    <row r="152" spans="1:3" x14ac:dyDescent="0.2">
      <c r="B152" t="s">
        <v>191</v>
      </c>
      <c r="C152">
        <v>8525</v>
      </c>
    </row>
    <row r="153" spans="1:3" x14ac:dyDescent="0.2">
      <c r="B153" t="s">
        <v>192</v>
      </c>
      <c r="C153">
        <v>7820</v>
      </c>
    </row>
    <row r="154" spans="1:3" x14ac:dyDescent="0.2">
      <c r="B154" t="s">
        <v>193</v>
      </c>
      <c r="C154">
        <v>8456</v>
      </c>
    </row>
    <row r="155" spans="1:3" x14ac:dyDescent="0.2">
      <c r="B155" t="s">
        <v>194</v>
      </c>
      <c r="C155">
        <v>7385</v>
      </c>
    </row>
    <row r="156" spans="1:3" x14ac:dyDescent="0.2">
      <c r="B156" t="s">
        <v>195</v>
      </c>
      <c r="C156">
        <v>7490</v>
      </c>
    </row>
    <row r="157" spans="1:3" x14ac:dyDescent="0.2">
      <c r="A157" t="s">
        <v>68</v>
      </c>
      <c r="C157">
        <v>173033</v>
      </c>
    </row>
    <row r="158" spans="1:3" x14ac:dyDescent="0.2">
      <c r="A158" t="s">
        <v>12</v>
      </c>
      <c r="B158" t="s">
        <v>184</v>
      </c>
      <c r="C158">
        <v>20920</v>
      </c>
    </row>
    <row r="159" spans="1:3" x14ac:dyDescent="0.2">
      <c r="B159" t="s">
        <v>185</v>
      </c>
      <c r="C159">
        <v>20230</v>
      </c>
    </row>
    <row r="160" spans="1:3" x14ac:dyDescent="0.2">
      <c r="B160" t="s">
        <v>186</v>
      </c>
      <c r="C160">
        <v>18235</v>
      </c>
    </row>
    <row r="161" spans="1:3" x14ac:dyDescent="0.2">
      <c r="B161" t="s">
        <v>187</v>
      </c>
      <c r="C161">
        <v>21742</v>
      </c>
    </row>
    <row r="162" spans="1:3" x14ac:dyDescent="0.2">
      <c r="B162" t="s">
        <v>188</v>
      </c>
      <c r="C162">
        <v>18489</v>
      </c>
    </row>
    <row r="163" spans="1:3" x14ac:dyDescent="0.2">
      <c r="B163" t="s">
        <v>189</v>
      </c>
      <c r="C163">
        <v>14510</v>
      </c>
    </row>
    <row r="164" spans="1:3" x14ac:dyDescent="0.2">
      <c r="B164" t="s">
        <v>190</v>
      </c>
      <c r="C164">
        <v>8961</v>
      </c>
    </row>
    <row r="165" spans="1:3" x14ac:dyDescent="0.2">
      <c r="B165" t="s">
        <v>191</v>
      </c>
      <c r="C165">
        <v>6443</v>
      </c>
    </row>
    <row r="166" spans="1:3" x14ac:dyDescent="0.2">
      <c r="B166" t="s">
        <v>192</v>
      </c>
      <c r="C166">
        <v>6223</v>
      </c>
    </row>
    <row r="167" spans="1:3" x14ac:dyDescent="0.2">
      <c r="B167" t="s">
        <v>193</v>
      </c>
      <c r="C167">
        <v>7891</v>
      </c>
    </row>
    <row r="168" spans="1:3" x14ac:dyDescent="0.2">
      <c r="B168" t="s">
        <v>194</v>
      </c>
      <c r="C168">
        <v>6337</v>
      </c>
    </row>
    <row r="169" spans="1:3" x14ac:dyDescent="0.2">
      <c r="B169" t="s">
        <v>195</v>
      </c>
      <c r="C169">
        <v>10533</v>
      </c>
    </row>
    <row r="170" spans="1:3" x14ac:dyDescent="0.2">
      <c r="A170" t="s">
        <v>69</v>
      </c>
      <c r="C170">
        <v>160514</v>
      </c>
    </row>
    <row r="171" spans="1:3" x14ac:dyDescent="0.2">
      <c r="A171" t="s">
        <v>13</v>
      </c>
      <c r="B171" t="s">
        <v>184</v>
      </c>
      <c r="C171">
        <v>47871</v>
      </c>
    </row>
    <row r="172" spans="1:3" x14ac:dyDescent="0.2">
      <c r="B172" t="s">
        <v>185</v>
      </c>
      <c r="C172">
        <v>41435</v>
      </c>
    </row>
    <row r="173" spans="1:3" x14ac:dyDescent="0.2">
      <c r="B173" t="s">
        <v>186</v>
      </c>
      <c r="C173">
        <v>62225</v>
      </c>
    </row>
    <row r="174" spans="1:3" x14ac:dyDescent="0.2">
      <c r="B174" t="s">
        <v>187</v>
      </c>
      <c r="C174">
        <v>56022</v>
      </c>
    </row>
    <row r="175" spans="1:3" x14ac:dyDescent="0.2">
      <c r="B175" t="s">
        <v>188</v>
      </c>
      <c r="C175">
        <v>42428</v>
      </c>
    </row>
    <row r="176" spans="1:3" x14ac:dyDescent="0.2">
      <c r="B176" t="s">
        <v>189</v>
      </c>
      <c r="C176">
        <v>20920</v>
      </c>
    </row>
    <row r="177" spans="1:3" x14ac:dyDescent="0.2">
      <c r="B177" t="s">
        <v>190</v>
      </c>
      <c r="C177">
        <v>8453</v>
      </c>
    </row>
    <row r="178" spans="1:3" x14ac:dyDescent="0.2">
      <c r="B178" t="s">
        <v>191</v>
      </c>
      <c r="C178">
        <v>5727</v>
      </c>
    </row>
    <row r="179" spans="1:3" x14ac:dyDescent="0.2">
      <c r="B179" t="s">
        <v>192</v>
      </c>
      <c r="C179">
        <v>4741</v>
      </c>
    </row>
    <row r="180" spans="1:3" x14ac:dyDescent="0.2">
      <c r="B180" t="s">
        <v>193</v>
      </c>
      <c r="C180">
        <v>5741</v>
      </c>
    </row>
    <row r="181" spans="1:3" x14ac:dyDescent="0.2">
      <c r="B181" t="s">
        <v>194</v>
      </c>
      <c r="C181">
        <v>4309</v>
      </c>
    </row>
    <row r="182" spans="1:3" x14ac:dyDescent="0.2">
      <c r="B182" t="s">
        <v>195</v>
      </c>
      <c r="C182">
        <v>4268</v>
      </c>
    </row>
    <row r="183" spans="1:3" x14ac:dyDescent="0.2">
      <c r="A183" t="s">
        <v>70</v>
      </c>
      <c r="C183">
        <v>304140</v>
      </c>
    </row>
    <row r="184" spans="1:3" x14ac:dyDescent="0.2">
      <c r="A184" t="s">
        <v>14</v>
      </c>
      <c r="B184" t="s">
        <v>184</v>
      </c>
      <c r="C184">
        <v>38041</v>
      </c>
    </row>
    <row r="185" spans="1:3" x14ac:dyDescent="0.2">
      <c r="B185" t="s">
        <v>185</v>
      </c>
      <c r="C185">
        <v>29787</v>
      </c>
    </row>
    <row r="186" spans="1:3" x14ac:dyDescent="0.2">
      <c r="B186" t="s">
        <v>186</v>
      </c>
      <c r="C186">
        <v>23750</v>
      </c>
    </row>
    <row r="187" spans="1:3" x14ac:dyDescent="0.2">
      <c r="B187" t="s">
        <v>187</v>
      </c>
      <c r="C187">
        <v>26520</v>
      </c>
    </row>
    <row r="188" spans="1:3" x14ac:dyDescent="0.2">
      <c r="B188" t="s">
        <v>188</v>
      </c>
      <c r="C188">
        <v>21703</v>
      </c>
    </row>
    <row r="189" spans="1:3" x14ac:dyDescent="0.2">
      <c r="B189" t="s">
        <v>189</v>
      </c>
      <c r="C189">
        <v>12107</v>
      </c>
    </row>
    <row r="190" spans="1:3" x14ac:dyDescent="0.2">
      <c r="B190" t="s">
        <v>190</v>
      </c>
      <c r="C190">
        <v>8285</v>
      </c>
    </row>
    <row r="191" spans="1:3" x14ac:dyDescent="0.2">
      <c r="B191" t="s">
        <v>191</v>
      </c>
      <c r="C191">
        <v>5009</v>
      </c>
    </row>
    <row r="192" spans="1:3" x14ac:dyDescent="0.2">
      <c r="B192" t="s">
        <v>192</v>
      </c>
      <c r="C192">
        <v>5331</v>
      </c>
    </row>
    <row r="193" spans="1:3" x14ac:dyDescent="0.2">
      <c r="B193" t="s">
        <v>193</v>
      </c>
      <c r="C193">
        <v>7481</v>
      </c>
    </row>
    <row r="194" spans="1:3" x14ac:dyDescent="0.2">
      <c r="B194" t="s">
        <v>194</v>
      </c>
      <c r="C194">
        <v>6900</v>
      </c>
    </row>
    <row r="195" spans="1:3" x14ac:dyDescent="0.2">
      <c r="B195" t="s">
        <v>195</v>
      </c>
      <c r="C195">
        <v>25330</v>
      </c>
    </row>
    <row r="196" spans="1:3" x14ac:dyDescent="0.2">
      <c r="A196" t="s">
        <v>71</v>
      </c>
      <c r="C196">
        <v>210244</v>
      </c>
    </row>
    <row r="197" spans="1:3" x14ac:dyDescent="0.2">
      <c r="A197" t="s">
        <v>15</v>
      </c>
      <c r="B197" t="s">
        <v>184</v>
      </c>
      <c r="C197">
        <v>10319</v>
      </c>
    </row>
    <row r="198" spans="1:3" x14ac:dyDescent="0.2">
      <c r="B198" t="s">
        <v>185</v>
      </c>
      <c r="C198">
        <v>11601</v>
      </c>
    </row>
    <row r="199" spans="1:3" x14ac:dyDescent="0.2">
      <c r="B199" t="s">
        <v>186</v>
      </c>
      <c r="C199">
        <v>13979</v>
      </c>
    </row>
    <row r="200" spans="1:3" x14ac:dyDescent="0.2">
      <c r="B200" t="s">
        <v>187</v>
      </c>
      <c r="C200">
        <v>8108</v>
      </c>
    </row>
    <row r="201" spans="1:3" x14ac:dyDescent="0.2">
      <c r="B201" t="s">
        <v>188</v>
      </c>
      <c r="C201">
        <v>7088</v>
      </c>
    </row>
    <row r="202" spans="1:3" x14ac:dyDescent="0.2">
      <c r="B202" t="s">
        <v>189</v>
      </c>
      <c r="C202">
        <v>3795</v>
      </c>
    </row>
    <row r="203" spans="1:3" x14ac:dyDescent="0.2">
      <c r="B203" t="s">
        <v>190</v>
      </c>
      <c r="C203">
        <v>3874</v>
      </c>
    </row>
    <row r="204" spans="1:3" x14ac:dyDescent="0.2">
      <c r="B204" t="s">
        <v>191</v>
      </c>
      <c r="C204">
        <v>2996</v>
      </c>
    </row>
    <row r="205" spans="1:3" x14ac:dyDescent="0.2">
      <c r="B205" t="s">
        <v>192</v>
      </c>
      <c r="C205">
        <v>2910</v>
      </c>
    </row>
    <row r="206" spans="1:3" x14ac:dyDescent="0.2">
      <c r="B206" t="s">
        <v>193</v>
      </c>
      <c r="C206">
        <v>3783</v>
      </c>
    </row>
    <row r="207" spans="1:3" x14ac:dyDescent="0.2">
      <c r="B207" t="s">
        <v>194</v>
      </c>
      <c r="C207">
        <v>2435</v>
      </c>
    </row>
    <row r="208" spans="1:3" x14ac:dyDescent="0.2">
      <c r="B208" t="s">
        <v>195</v>
      </c>
      <c r="C208">
        <v>5585</v>
      </c>
    </row>
    <row r="209" spans="1:3" x14ac:dyDescent="0.2">
      <c r="A209" t="s">
        <v>72</v>
      </c>
      <c r="C209">
        <v>76473</v>
      </c>
    </row>
    <row r="210" spans="1:3" x14ac:dyDescent="0.2">
      <c r="A210" t="s">
        <v>16</v>
      </c>
      <c r="B210" t="s">
        <v>184</v>
      </c>
      <c r="C210">
        <v>25651</v>
      </c>
    </row>
    <row r="211" spans="1:3" x14ac:dyDescent="0.2">
      <c r="B211" t="s">
        <v>185</v>
      </c>
      <c r="C211">
        <v>24823</v>
      </c>
    </row>
    <row r="212" spans="1:3" x14ac:dyDescent="0.2">
      <c r="B212" t="s">
        <v>186</v>
      </c>
      <c r="C212">
        <v>35002</v>
      </c>
    </row>
    <row r="213" spans="1:3" x14ac:dyDescent="0.2">
      <c r="B213" t="s">
        <v>187</v>
      </c>
      <c r="C213">
        <v>27643</v>
      </c>
    </row>
    <row r="214" spans="1:3" x14ac:dyDescent="0.2">
      <c r="B214" t="s">
        <v>188</v>
      </c>
      <c r="C214">
        <v>21632</v>
      </c>
    </row>
    <row r="215" spans="1:3" x14ac:dyDescent="0.2">
      <c r="B215" t="s">
        <v>189</v>
      </c>
      <c r="C215">
        <v>15357</v>
      </c>
    </row>
    <row r="216" spans="1:3" x14ac:dyDescent="0.2">
      <c r="B216" t="s">
        <v>190</v>
      </c>
      <c r="C216">
        <v>5415</v>
      </c>
    </row>
    <row r="217" spans="1:3" x14ac:dyDescent="0.2">
      <c r="B217" t="s">
        <v>191</v>
      </c>
      <c r="C217">
        <v>2442</v>
      </c>
    </row>
    <row r="218" spans="1:3" x14ac:dyDescent="0.2">
      <c r="B218" t="s">
        <v>192</v>
      </c>
      <c r="C218">
        <v>1323</v>
      </c>
    </row>
    <row r="219" spans="1:3" x14ac:dyDescent="0.2">
      <c r="B219" t="s">
        <v>193</v>
      </c>
      <c r="C219">
        <v>1544</v>
      </c>
    </row>
    <row r="220" spans="1:3" x14ac:dyDescent="0.2">
      <c r="B220" t="s">
        <v>194</v>
      </c>
      <c r="C220">
        <v>1312</v>
      </c>
    </row>
    <row r="221" spans="1:3" x14ac:dyDescent="0.2">
      <c r="B221" t="s">
        <v>195</v>
      </c>
      <c r="C221">
        <v>1380</v>
      </c>
    </row>
    <row r="222" spans="1:3" x14ac:dyDescent="0.2">
      <c r="A222" t="s">
        <v>73</v>
      </c>
      <c r="C222">
        <v>163524</v>
      </c>
    </row>
    <row r="223" spans="1:3" x14ac:dyDescent="0.2">
      <c r="A223" t="s">
        <v>17</v>
      </c>
      <c r="B223" t="s">
        <v>184</v>
      </c>
      <c r="C223">
        <v>52691</v>
      </c>
    </row>
    <row r="224" spans="1:3" x14ac:dyDescent="0.2">
      <c r="B224" t="s">
        <v>185</v>
      </c>
      <c r="C224">
        <v>38794</v>
      </c>
    </row>
    <row r="225" spans="1:3" x14ac:dyDescent="0.2">
      <c r="B225" t="s">
        <v>186</v>
      </c>
      <c r="C225">
        <v>65727</v>
      </c>
    </row>
    <row r="226" spans="1:3" x14ac:dyDescent="0.2">
      <c r="B226" t="s">
        <v>187</v>
      </c>
      <c r="C226">
        <v>35346</v>
      </c>
    </row>
    <row r="227" spans="1:3" x14ac:dyDescent="0.2">
      <c r="B227" t="s">
        <v>188</v>
      </c>
      <c r="C227">
        <v>23321</v>
      </c>
    </row>
    <row r="228" spans="1:3" x14ac:dyDescent="0.2">
      <c r="B228" t="s">
        <v>189</v>
      </c>
      <c r="C228">
        <v>23528</v>
      </c>
    </row>
    <row r="229" spans="1:3" x14ac:dyDescent="0.2">
      <c r="B229" t="s">
        <v>190</v>
      </c>
      <c r="C229">
        <v>14365</v>
      </c>
    </row>
    <row r="230" spans="1:3" x14ac:dyDescent="0.2">
      <c r="B230" t="s">
        <v>191</v>
      </c>
      <c r="C230">
        <v>6686</v>
      </c>
    </row>
    <row r="231" spans="1:3" x14ac:dyDescent="0.2">
      <c r="B231" t="s">
        <v>192</v>
      </c>
      <c r="C231">
        <v>4500</v>
      </c>
    </row>
    <row r="232" spans="1:3" x14ac:dyDescent="0.2">
      <c r="B232" t="s">
        <v>193</v>
      </c>
      <c r="C232">
        <v>5266</v>
      </c>
    </row>
    <row r="233" spans="1:3" x14ac:dyDescent="0.2">
      <c r="B233" t="s">
        <v>194</v>
      </c>
      <c r="C233">
        <v>4178</v>
      </c>
    </row>
    <row r="234" spans="1:3" x14ac:dyDescent="0.2">
      <c r="B234" t="s">
        <v>195</v>
      </c>
      <c r="C234">
        <v>4176</v>
      </c>
    </row>
    <row r="235" spans="1:3" x14ac:dyDescent="0.2">
      <c r="A235" t="s">
        <v>74</v>
      </c>
      <c r="C235">
        <v>278578</v>
      </c>
    </row>
    <row r="236" spans="1:3" x14ac:dyDescent="0.2">
      <c r="A236" t="s">
        <v>18</v>
      </c>
      <c r="B236" t="s">
        <v>184</v>
      </c>
      <c r="C236">
        <v>18290</v>
      </c>
    </row>
    <row r="237" spans="1:3" x14ac:dyDescent="0.2">
      <c r="B237" t="s">
        <v>185</v>
      </c>
      <c r="C237">
        <v>12695</v>
      </c>
    </row>
    <row r="238" spans="1:3" x14ac:dyDescent="0.2">
      <c r="B238" t="s">
        <v>186</v>
      </c>
      <c r="C238">
        <v>10443</v>
      </c>
    </row>
    <row r="239" spans="1:3" x14ac:dyDescent="0.2">
      <c r="B239" t="s">
        <v>187</v>
      </c>
      <c r="C239">
        <v>6755</v>
      </c>
    </row>
    <row r="240" spans="1:3" x14ac:dyDescent="0.2">
      <c r="B240" t="s">
        <v>188</v>
      </c>
      <c r="C240">
        <v>4681</v>
      </c>
    </row>
    <row r="241" spans="1:3" x14ac:dyDescent="0.2">
      <c r="B241" t="s">
        <v>189</v>
      </c>
      <c r="C241">
        <v>3193</v>
      </c>
    </row>
    <row r="242" spans="1:3" x14ac:dyDescent="0.2">
      <c r="B242" t="s">
        <v>190</v>
      </c>
      <c r="C242">
        <v>2142</v>
      </c>
    </row>
    <row r="243" spans="1:3" x14ac:dyDescent="0.2">
      <c r="B243" t="s">
        <v>191</v>
      </c>
      <c r="C243">
        <v>1318</v>
      </c>
    </row>
    <row r="244" spans="1:3" x14ac:dyDescent="0.2">
      <c r="B244" t="s">
        <v>192</v>
      </c>
      <c r="C244">
        <v>1260</v>
      </c>
    </row>
    <row r="245" spans="1:3" x14ac:dyDescent="0.2">
      <c r="B245" t="s">
        <v>193</v>
      </c>
      <c r="C245">
        <v>1715</v>
      </c>
    </row>
    <row r="246" spans="1:3" x14ac:dyDescent="0.2">
      <c r="B246" t="s">
        <v>194</v>
      </c>
      <c r="C246">
        <v>1225</v>
      </c>
    </row>
    <row r="247" spans="1:3" x14ac:dyDescent="0.2">
      <c r="B247" t="s">
        <v>195</v>
      </c>
      <c r="C247">
        <v>2258</v>
      </c>
    </row>
    <row r="248" spans="1:3" x14ac:dyDescent="0.2">
      <c r="A248" t="s">
        <v>75</v>
      </c>
      <c r="C248">
        <v>65975</v>
      </c>
    </row>
    <row r="249" spans="1:3" x14ac:dyDescent="0.2">
      <c r="A249" t="s">
        <v>19</v>
      </c>
      <c r="B249" t="s">
        <v>184</v>
      </c>
      <c r="C249">
        <v>18747</v>
      </c>
    </row>
    <row r="250" spans="1:3" x14ac:dyDescent="0.2">
      <c r="B250" t="s">
        <v>185</v>
      </c>
      <c r="C250">
        <v>15407</v>
      </c>
    </row>
    <row r="251" spans="1:3" x14ac:dyDescent="0.2">
      <c r="B251" t="s">
        <v>186</v>
      </c>
      <c r="C251">
        <v>13839</v>
      </c>
    </row>
    <row r="252" spans="1:3" x14ac:dyDescent="0.2">
      <c r="B252" t="s">
        <v>187</v>
      </c>
      <c r="C252">
        <v>12906</v>
      </c>
    </row>
    <row r="253" spans="1:3" x14ac:dyDescent="0.2">
      <c r="B253" t="s">
        <v>188</v>
      </c>
      <c r="C253">
        <v>12722</v>
      </c>
    </row>
    <row r="254" spans="1:3" x14ac:dyDescent="0.2">
      <c r="B254" t="s">
        <v>189</v>
      </c>
      <c r="C254">
        <v>10321</v>
      </c>
    </row>
    <row r="255" spans="1:3" x14ac:dyDescent="0.2">
      <c r="B255" t="s">
        <v>190</v>
      </c>
      <c r="C255">
        <v>7778</v>
      </c>
    </row>
    <row r="256" spans="1:3" x14ac:dyDescent="0.2">
      <c r="B256" t="s">
        <v>191</v>
      </c>
      <c r="C256">
        <v>6090</v>
      </c>
    </row>
    <row r="257" spans="1:3" x14ac:dyDescent="0.2">
      <c r="B257" t="s">
        <v>192</v>
      </c>
      <c r="C257">
        <v>6069</v>
      </c>
    </row>
    <row r="258" spans="1:3" x14ac:dyDescent="0.2">
      <c r="B258" t="s">
        <v>193</v>
      </c>
      <c r="C258">
        <v>4053</v>
      </c>
    </row>
    <row r="259" spans="1:3" x14ac:dyDescent="0.2">
      <c r="B259" t="s">
        <v>194</v>
      </c>
      <c r="C259">
        <v>3200</v>
      </c>
    </row>
    <row r="260" spans="1:3" x14ac:dyDescent="0.2">
      <c r="B260" t="s">
        <v>195</v>
      </c>
      <c r="C260">
        <v>4371</v>
      </c>
    </row>
    <row r="261" spans="1:3" x14ac:dyDescent="0.2">
      <c r="A261" t="s">
        <v>76</v>
      </c>
      <c r="C261">
        <v>115503</v>
      </c>
    </row>
    <row r="262" spans="1:3" x14ac:dyDescent="0.2">
      <c r="A262" t="s">
        <v>20</v>
      </c>
      <c r="B262" t="s">
        <v>184</v>
      </c>
      <c r="C262">
        <v>16884</v>
      </c>
    </row>
    <row r="263" spans="1:3" x14ac:dyDescent="0.2">
      <c r="B263" t="s">
        <v>185</v>
      </c>
      <c r="C263">
        <v>18765</v>
      </c>
    </row>
    <row r="264" spans="1:3" x14ac:dyDescent="0.2">
      <c r="B264" t="s">
        <v>186</v>
      </c>
      <c r="C264">
        <v>14763</v>
      </c>
    </row>
    <row r="265" spans="1:3" x14ac:dyDescent="0.2">
      <c r="B265" t="s">
        <v>187</v>
      </c>
      <c r="C265">
        <v>14159</v>
      </c>
    </row>
    <row r="266" spans="1:3" x14ac:dyDescent="0.2">
      <c r="B266" t="s">
        <v>188</v>
      </c>
      <c r="C266">
        <v>15272</v>
      </c>
    </row>
    <row r="267" spans="1:3" x14ac:dyDescent="0.2">
      <c r="B267" t="s">
        <v>189</v>
      </c>
      <c r="C267">
        <v>11832</v>
      </c>
    </row>
    <row r="268" spans="1:3" x14ac:dyDescent="0.2">
      <c r="B268" t="s">
        <v>190</v>
      </c>
      <c r="C268">
        <v>5227</v>
      </c>
    </row>
    <row r="269" spans="1:3" x14ac:dyDescent="0.2">
      <c r="B269" t="s">
        <v>191</v>
      </c>
      <c r="C269">
        <v>3245</v>
      </c>
    </row>
    <row r="270" spans="1:3" x14ac:dyDescent="0.2">
      <c r="B270" t="s">
        <v>192</v>
      </c>
      <c r="C270">
        <v>3231</v>
      </c>
    </row>
    <row r="271" spans="1:3" x14ac:dyDescent="0.2">
      <c r="B271" t="s">
        <v>193</v>
      </c>
      <c r="C271">
        <v>4436</v>
      </c>
    </row>
    <row r="272" spans="1:3" x14ac:dyDescent="0.2">
      <c r="B272" t="s">
        <v>194</v>
      </c>
      <c r="C272">
        <v>3149</v>
      </c>
    </row>
    <row r="273" spans="1:3" x14ac:dyDescent="0.2">
      <c r="B273" t="s">
        <v>195</v>
      </c>
      <c r="C273">
        <v>5435</v>
      </c>
    </row>
    <row r="274" spans="1:3" x14ac:dyDescent="0.2">
      <c r="A274" t="s">
        <v>77</v>
      </c>
      <c r="C274">
        <v>116398</v>
      </c>
    </row>
    <row r="275" spans="1:3" x14ac:dyDescent="0.2">
      <c r="A275" t="s">
        <v>21</v>
      </c>
      <c r="B275" t="s">
        <v>184</v>
      </c>
      <c r="C275">
        <v>5645</v>
      </c>
    </row>
    <row r="276" spans="1:3" x14ac:dyDescent="0.2">
      <c r="B276" t="s">
        <v>185</v>
      </c>
      <c r="C276">
        <v>4872</v>
      </c>
    </row>
    <row r="277" spans="1:3" x14ac:dyDescent="0.2">
      <c r="B277" t="s">
        <v>186</v>
      </c>
      <c r="C277">
        <v>10841</v>
      </c>
    </row>
    <row r="278" spans="1:3" x14ac:dyDescent="0.2">
      <c r="B278" t="s">
        <v>187</v>
      </c>
      <c r="C278">
        <v>17776</v>
      </c>
    </row>
    <row r="279" spans="1:3" x14ac:dyDescent="0.2">
      <c r="B279" t="s">
        <v>188</v>
      </c>
      <c r="C279">
        <v>14788</v>
      </c>
    </row>
    <row r="280" spans="1:3" x14ac:dyDescent="0.2">
      <c r="B280" t="s">
        <v>189</v>
      </c>
      <c r="C280">
        <v>9896</v>
      </c>
    </row>
    <row r="281" spans="1:3" x14ac:dyDescent="0.2">
      <c r="B281" t="s">
        <v>190</v>
      </c>
      <c r="C281">
        <v>8360</v>
      </c>
    </row>
    <row r="282" spans="1:3" x14ac:dyDescent="0.2">
      <c r="B282" t="s">
        <v>191</v>
      </c>
      <c r="C282">
        <v>5682</v>
      </c>
    </row>
    <row r="283" spans="1:3" x14ac:dyDescent="0.2">
      <c r="B283" t="s">
        <v>192</v>
      </c>
      <c r="C283">
        <v>5835</v>
      </c>
    </row>
    <row r="284" spans="1:3" x14ac:dyDescent="0.2">
      <c r="B284" t="s">
        <v>193</v>
      </c>
      <c r="C284">
        <v>6247</v>
      </c>
    </row>
    <row r="285" spans="1:3" x14ac:dyDescent="0.2">
      <c r="B285" t="s">
        <v>194</v>
      </c>
      <c r="C285">
        <v>3930</v>
      </c>
    </row>
    <row r="286" spans="1:3" x14ac:dyDescent="0.2">
      <c r="B286" t="s">
        <v>195</v>
      </c>
      <c r="C286">
        <v>6994</v>
      </c>
    </row>
    <row r="287" spans="1:3" x14ac:dyDescent="0.2">
      <c r="A287" t="s">
        <v>78</v>
      </c>
      <c r="C287">
        <v>100866</v>
      </c>
    </row>
    <row r="288" spans="1:3" x14ac:dyDescent="0.2">
      <c r="A288" t="s">
        <v>22</v>
      </c>
      <c r="B288" t="s">
        <v>184</v>
      </c>
      <c r="C288">
        <v>26597</v>
      </c>
    </row>
    <row r="289" spans="1:3" x14ac:dyDescent="0.2">
      <c r="B289" t="s">
        <v>185</v>
      </c>
      <c r="C289">
        <v>39008</v>
      </c>
    </row>
    <row r="290" spans="1:3" x14ac:dyDescent="0.2">
      <c r="B290" t="s">
        <v>186</v>
      </c>
      <c r="C290">
        <v>31721</v>
      </c>
    </row>
    <row r="291" spans="1:3" x14ac:dyDescent="0.2">
      <c r="B291" t="s">
        <v>187</v>
      </c>
      <c r="C291">
        <v>38575</v>
      </c>
    </row>
    <row r="292" spans="1:3" x14ac:dyDescent="0.2">
      <c r="B292" t="s">
        <v>188</v>
      </c>
      <c r="C292">
        <v>24913</v>
      </c>
    </row>
    <row r="293" spans="1:3" x14ac:dyDescent="0.2">
      <c r="B293" t="s">
        <v>189</v>
      </c>
      <c r="C293">
        <v>14095</v>
      </c>
    </row>
    <row r="294" spans="1:3" x14ac:dyDescent="0.2">
      <c r="B294" t="s">
        <v>190</v>
      </c>
      <c r="C294">
        <v>8876</v>
      </c>
    </row>
    <row r="295" spans="1:3" x14ac:dyDescent="0.2">
      <c r="B295" t="s">
        <v>191</v>
      </c>
      <c r="C295">
        <v>7020</v>
      </c>
    </row>
    <row r="296" spans="1:3" x14ac:dyDescent="0.2">
      <c r="B296" t="s">
        <v>192</v>
      </c>
      <c r="C296">
        <v>5765</v>
      </c>
    </row>
    <row r="297" spans="1:3" x14ac:dyDescent="0.2">
      <c r="B297" t="s">
        <v>193</v>
      </c>
      <c r="C297">
        <v>6083</v>
      </c>
    </row>
    <row r="298" spans="1:3" x14ac:dyDescent="0.2">
      <c r="B298" t="s">
        <v>194</v>
      </c>
      <c r="C298">
        <v>5163</v>
      </c>
    </row>
    <row r="299" spans="1:3" x14ac:dyDescent="0.2">
      <c r="B299" t="s">
        <v>195</v>
      </c>
      <c r="C299">
        <v>6896</v>
      </c>
    </row>
    <row r="300" spans="1:3" x14ac:dyDescent="0.2">
      <c r="A300" t="s">
        <v>79</v>
      </c>
      <c r="C300">
        <v>214712</v>
      </c>
    </row>
    <row r="301" spans="1:3" x14ac:dyDescent="0.2">
      <c r="A301" t="s">
        <v>23</v>
      </c>
      <c r="B301" t="s">
        <v>184</v>
      </c>
      <c r="C301">
        <v>45094</v>
      </c>
    </row>
    <row r="302" spans="1:3" x14ac:dyDescent="0.2">
      <c r="B302" t="s">
        <v>185</v>
      </c>
      <c r="C302">
        <v>38535</v>
      </c>
    </row>
    <row r="303" spans="1:3" x14ac:dyDescent="0.2">
      <c r="B303" t="s">
        <v>186</v>
      </c>
      <c r="C303">
        <v>34189</v>
      </c>
    </row>
    <row r="304" spans="1:3" x14ac:dyDescent="0.2">
      <c r="B304" t="s">
        <v>187</v>
      </c>
      <c r="C304">
        <v>35582</v>
      </c>
    </row>
    <row r="305" spans="1:3" x14ac:dyDescent="0.2">
      <c r="B305" t="s">
        <v>188</v>
      </c>
      <c r="C305">
        <v>25201</v>
      </c>
    </row>
    <row r="306" spans="1:3" x14ac:dyDescent="0.2">
      <c r="B306" t="s">
        <v>189</v>
      </c>
      <c r="C306">
        <v>13155</v>
      </c>
    </row>
    <row r="307" spans="1:3" x14ac:dyDescent="0.2">
      <c r="B307" t="s">
        <v>190</v>
      </c>
      <c r="C307">
        <v>7189</v>
      </c>
    </row>
    <row r="308" spans="1:3" x14ac:dyDescent="0.2">
      <c r="B308" t="s">
        <v>191</v>
      </c>
      <c r="C308">
        <v>3671</v>
      </c>
    </row>
    <row r="309" spans="1:3" x14ac:dyDescent="0.2">
      <c r="B309" t="s">
        <v>192</v>
      </c>
      <c r="C309">
        <v>2311</v>
      </c>
    </row>
    <row r="310" spans="1:3" x14ac:dyDescent="0.2">
      <c r="B310" t="s">
        <v>193</v>
      </c>
      <c r="C310">
        <v>2867</v>
      </c>
    </row>
    <row r="311" spans="1:3" x14ac:dyDescent="0.2">
      <c r="B311" t="s">
        <v>194</v>
      </c>
      <c r="C311">
        <v>2590</v>
      </c>
    </row>
    <row r="312" spans="1:3" x14ac:dyDescent="0.2">
      <c r="B312" t="s">
        <v>195</v>
      </c>
      <c r="C312">
        <v>3052</v>
      </c>
    </row>
    <row r="313" spans="1:3" x14ac:dyDescent="0.2">
      <c r="A313" t="s">
        <v>80</v>
      </c>
      <c r="C313">
        <v>213436</v>
      </c>
    </row>
    <row r="314" spans="1:3" x14ac:dyDescent="0.2">
      <c r="A314" t="s">
        <v>24</v>
      </c>
      <c r="B314" t="s">
        <v>184</v>
      </c>
      <c r="C314">
        <v>6705</v>
      </c>
    </row>
    <row r="315" spans="1:3" x14ac:dyDescent="0.2">
      <c r="B315" t="s">
        <v>185</v>
      </c>
      <c r="C315">
        <v>9327</v>
      </c>
    </row>
    <row r="316" spans="1:3" x14ac:dyDescent="0.2">
      <c r="B316" t="s">
        <v>186</v>
      </c>
      <c r="C316">
        <v>7360</v>
      </c>
    </row>
    <row r="317" spans="1:3" x14ac:dyDescent="0.2">
      <c r="B317" t="s">
        <v>187</v>
      </c>
      <c r="C317">
        <v>7599</v>
      </c>
    </row>
    <row r="318" spans="1:3" x14ac:dyDescent="0.2">
      <c r="B318" t="s">
        <v>188</v>
      </c>
      <c r="C318">
        <v>5967</v>
      </c>
    </row>
    <row r="319" spans="1:3" x14ac:dyDescent="0.2">
      <c r="B319" t="s">
        <v>189</v>
      </c>
      <c r="C319">
        <v>3791</v>
      </c>
    </row>
    <row r="320" spans="1:3" x14ac:dyDescent="0.2">
      <c r="B320" t="s">
        <v>190</v>
      </c>
      <c r="C320">
        <v>2262</v>
      </c>
    </row>
    <row r="321" spans="1:3" x14ac:dyDescent="0.2">
      <c r="B321" t="s">
        <v>191</v>
      </c>
      <c r="C321">
        <v>1480</v>
      </c>
    </row>
    <row r="322" spans="1:3" x14ac:dyDescent="0.2">
      <c r="B322" t="s">
        <v>192</v>
      </c>
      <c r="C322">
        <v>1719</v>
      </c>
    </row>
    <row r="323" spans="1:3" x14ac:dyDescent="0.2">
      <c r="B323" t="s">
        <v>193</v>
      </c>
      <c r="C323">
        <v>1812</v>
      </c>
    </row>
    <row r="324" spans="1:3" x14ac:dyDescent="0.2">
      <c r="B324" t="s">
        <v>194</v>
      </c>
      <c r="C324">
        <v>1563</v>
      </c>
    </row>
    <row r="325" spans="1:3" x14ac:dyDescent="0.2">
      <c r="B325" t="s">
        <v>195</v>
      </c>
      <c r="C325">
        <v>5236</v>
      </c>
    </row>
    <row r="326" spans="1:3" x14ac:dyDescent="0.2">
      <c r="A326" t="s">
        <v>81</v>
      </c>
      <c r="C326">
        <v>54821</v>
      </c>
    </row>
    <row r="327" spans="1:3" x14ac:dyDescent="0.2">
      <c r="A327" t="s">
        <v>25</v>
      </c>
      <c r="B327" t="s">
        <v>184</v>
      </c>
      <c r="C327">
        <v>16747</v>
      </c>
    </row>
    <row r="328" spans="1:3" x14ac:dyDescent="0.2">
      <c r="B328" t="s">
        <v>185</v>
      </c>
      <c r="C328">
        <v>14633</v>
      </c>
    </row>
    <row r="329" spans="1:3" x14ac:dyDescent="0.2">
      <c r="B329" t="s">
        <v>186</v>
      </c>
      <c r="C329">
        <v>12982</v>
      </c>
    </row>
    <row r="330" spans="1:3" x14ac:dyDescent="0.2">
      <c r="B330" t="s">
        <v>187</v>
      </c>
      <c r="C330">
        <v>15319</v>
      </c>
    </row>
    <row r="331" spans="1:3" x14ac:dyDescent="0.2">
      <c r="B331" t="s">
        <v>188</v>
      </c>
      <c r="C331">
        <v>16384</v>
      </c>
    </row>
    <row r="332" spans="1:3" x14ac:dyDescent="0.2">
      <c r="B332" t="s">
        <v>189</v>
      </c>
      <c r="C332">
        <v>11250</v>
      </c>
    </row>
    <row r="333" spans="1:3" x14ac:dyDescent="0.2">
      <c r="B333" t="s">
        <v>190</v>
      </c>
      <c r="C333">
        <v>4918</v>
      </c>
    </row>
    <row r="334" spans="1:3" x14ac:dyDescent="0.2">
      <c r="B334" t="s">
        <v>191</v>
      </c>
      <c r="C334">
        <v>1397</v>
      </c>
    </row>
    <row r="335" spans="1:3" x14ac:dyDescent="0.2">
      <c r="B335" t="s">
        <v>192</v>
      </c>
      <c r="C335">
        <v>977</v>
      </c>
    </row>
    <row r="336" spans="1:3" x14ac:dyDescent="0.2">
      <c r="B336" t="s">
        <v>193</v>
      </c>
      <c r="C336">
        <v>1577</v>
      </c>
    </row>
    <row r="337" spans="1:3" x14ac:dyDescent="0.2">
      <c r="B337" t="s">
        <v>194</v>
      </c>
      <c r="C337">
        <v>1668</v>
      </c>
    </row>
    <row r="338" spans="1:3" x14ac:dyDescent="0.2">
      <c r="B338" t="s">
        <v>195</v>
      </c>
      <c r="C338">
        <v>1864</v>
      </c>
    </row>
    <row r="339" spans="1:3" x14ac:dyDescent="0.2">
      <c r="A339" t="s">
        <v>82</v>
      </c>
      <c r="C339">
        <v>99716</v>
      </c>
    </row>
    <row r="340" spans="1:3" x14ac:dyDescent="0.2">
      <c r="A340" t="s">
        <v>26</v>
      </c>
      <c r="B340" t="s">
        <v>184</v>
      </c>
      <c r="C340">
        <v>13474</v>
      </c>
    </row>
    <row r="341" spans="1:3" x14ac:dyDescent="0.2">
      <c r="B341" t="s">
        <v>185</v>
      </c>
      <c r="C341">
        <v>23316</v>
      </c>
    </row>
    <row r="342" spans="1:3" x14ac:dyDescent="0.2">
      <c r="B342" t="s">
        <v>186</v>
      </c>
      <c r="C342">
        <v>17346</v>
      </c>
    </row>
    <row r="343" spans="1:3" x14ac:dyDescent="0.2">
      <c r="B343" t="s">
        <v>187</v>
      </c>
      <c r="C343">
        <v>20259</v>
      </c>
    </row>
    <row r="344" spans="1:3" x14ac:dyDescent="0.2">
      <c r="B344" t="s">
        <v>188</v>
      </c>
      <c r="C344">
        <v>20933</v>
      </c>
    </row>
    <row r="345" spans="1:3" x14ac:dyDescent="0.2">
      <c r="B345" t="s">
        <v>189</v>
      </c>
      <c r="C345">
        <v>17130</v>
      </c>
    </row>
    <row r="346" spans="1:3" x14ac:dyDescent="0.2">
      <c r="B346" t="s">
        <v>190</v>
      </c>
      <c r="C346">
        <v>11200</v>
      </c>
    </row>
    <row r="347" spans="1:3" x14ac:dyDescent="0.2">
      <c r="B347" t="s">
        <v>191</v>
      </c>
      <c r="C347">
        <v>7677</v>
      </c>
    </row>
    <row r="348" spans="1:3" x14ac:dyDescent="0.2">
      <c r="B348" t="s">
        <v>192</v>
      </c>
      <c r="C348">
        <v>6553</v>
      </c>
    </row>
    <row r="349" spans="1:3" x14ac:dyDescent="0.2">
      <c r="B349" t="s">
        <v>193</v>
      </c>
      <c r="C349">
        <v>7858</v>
      </c>
    </row>
    <row r="350" spans="1:3" x14ac:dyDescent="0.2">
      <c r="B350" t="s">
        <v>194</v>
      </c>
      <c r="C350">
        <v>5497</v>
      </c>
    </row>
    <row r="351" spans="1:3" x14ac:dyDescent="0.2">
      <c r="B351" t="s">
        <v>195</v>
      </c>
      <c r="C351">
        <v>9617</v>
      </c>
    </row>
    <row r="352" spans="1:3" x14ac:dyDescent="0.2">
      <c r="A352" t="s">
        <v>83</v>
      </c>
      <c r="C352">
        <v>160860</v>
      </c>
    </row>
    <row r="353" spans="1:3" x14ac:dyDescent="0.2">
      <c r="A353" t="s">
        <v>27</v>
      </c>
      <c r="B353" t="s">
        <v>184</v>
      </c>
      <c r="C353">
        <v>22722</v>
      </c>
    </row>
    <row r="354" spans="1:3" x14ac:dyDescent="0.2">
      <c r="B354" t="s">
        <v>185</v>
      </c>
      <c r="C354">
        <v>13349</v>
      </c>
    </row>
    <row r="355" spans="1:3" x14ac:dyDescent="0.2">
      <c r="B355" t="s">
        <v>186</v>
      </c>
      <c r="C355">
        <v>9022</v>
      </c>
    </row>
    <row r="356" spans="1:3" x14ac:dyDescent="0.2">
      <c r="B356" t="s">
        <v>187</v>
      </c>
      <c r="C356">
        <v>10138</v>
      </c>
    </row>
    <row r="357" spans="1:3" x14ac:dyDescent="0.2">
      <c r="B357" t="s">
        <v>188</v>
      </c>
      <c r="C357">
        <v>8745</v>
      </c>
    </row>
    <row r="358" spans="1:3" x14ac:dyDescent="0.2">
      <c r="B358" t="s">
        <v>189</v>
      </c>
      <c r="C358">
        <v>7511</v>
      </c>
    </row>
    <row r="359" spans="1:3" x14ac:dyDescent="0.2">
      <c r="B359" t="s">
        <v>190</v>
      </c>
      <c r="C359">
        <v>5512</v>
      </c>
    </row>
    <row r="360" spans="1:3" x14ac:dyDescent="0.2">
      <c r="B360" t="s">
        <v>191</v>
      </c>
      <c r="C360">
        <v>3952</v>
      </c>
    </row>
    <row r="361" spans="1:3" x14ac:dyDescent="0.2">
      <c r="B361" t="s">
        <v>192</v>
      </c>
      <c r="C361">
        <v>3249</v>
      </c>
    </row>
    <row r="362" spans="1:3" x14ac:dyDescent="0.2">
      <c r="B362" t="s">
        <v>193</v>
      </c>
      <c r="C362">
        <v>4643</v>
      </c>
    </row>
    <row r="363" spans="1:3" x14ac:dyDescent="0.2">
      <c r="B363" t="s">
        <v>194</v>
      </c>
      <c r="C363">
        <v>4406</v>
      </c>
    </row>
    <row r="364" spans="1:3" x14ac:dyDescent="0.2">
      <c r="B364" t="s">
        <v>195</v>
      </c>
      <c r="C364">
        <v>8309</v>
      </c>
    </row>
    <row r="365" spans="1:3" x14ac:dyDescent="0.2">
      <c r="A365" t="s">
        <v>84</v>
      </c>
      <c r="C365">
        <v>101558</v>
      </c>
    </row>
    <row r="366" spans="1:3" x14ac:dyDescent="0.2">
      <c r="A366" t="s">
        <v>28</v>
      </c>
      <c r="B366" t="s">
        <v>184</v>
      </c>
      <c r="C366">
        <v>53291</v>
      </c>
    </row>
    <row r="367" spans="1:3" x14ac:dyDescent="0.2">
      <c r="B367" t="s">
        <v>185</v>
      </c>
      <c r="C367">
        <v>71322</v>
      </c>
    </row>
    <row r="368" spans="1:3" x14ac:dyDescent="0.2">
      <c r="B368" t="s">
        <v>186</v>
      </c>
      <c r="C368">
        <v>51740</v>
      </c>
    </row>
    <row r="369" spans="1:3" x14ac:dyDescent="0.2">
      <c r="B369" t="s">
        <v>187</v>
      </c>
      <c r="C369">
        <v>33745</v>
      </c>
    </row>
    <row r="370" spans="1:3" x14ac:dyDescent="0.2">
      <c r="B370" t="s">
        <v>188</v>
      </c>
      <c r="C370">
        <v>24018</v>
      </c>
    </row>
    <row r="371" spans="1:3" x14ac:dyDescent="0.2">
      <c r="B371" t="s">
        <v>189</v>
      </c>
      <c r="C371">
        <v>16139</v>
      </c>
    </row>
    <row r="372" spans="1:3" x14ac:dyDescent="0.2">
      <c r="B372" t="s">
        <v>190</v>
      </c>
      <c r="C372">
        <v>8369</v>
      </c>
    </row>
    <row r="373" spans="1:3" x14ac:dyDescent="0.2">
      <c r="B373" t="s">
        <v>191</v>
      </c>
      <c r="C373">
        <v>5026</v>
      </c>
    </row>
    <row r="374" spans="1:3" x14ac:dyDescent="0.2">
      <c r="B374" t="s">
        <v>192</v>
      </c>
      <c r="C374">
        <v>3484</v>
      </c>
    </row>
    <row r="375" spans="1:3" x14ac:dyDescent="0.2">
      <c r="B375" t="s">
        <v>193</v>
      </c>
      <c r="C375">
        <v>6221</v>
      </c>
    </row>
    <row r="376" spans="1:3" x14ac:dyDescent="0.2">
      <c r="B376" t="s">
        <v>194</v>
      </c>
      <c r="C376">
        <v>3850</v>
      </c>
    </row>
    <row r="377" spans="1:3" x14ac:dyDescent="0.2">
      <c r="B377" t="s">
        <v>195</v>
      </c>
      <c r="C377">
        <v>5316</v>
      </c>
    </row>
    <row r="378" spans="1:3" x14ac:dyDescent="0.2">
      <c r="A378" t="s">
        <v>85</v>
      </c>
      <c r="C378">
        <v>282521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2015 Mal_Cases</vt:lpstr>
      <vt:lpstr>2016 Mal_Cases</vt:lpstr>
      <vt:lpstr>2017 Mal_Cases</vt:lpstr>
      <vt:lpstr>2018 Mal_Cases</vt:lpstr>
      <vt:lpstr>2019 Mal_Cases</vt:lpstr>
      <vt:lpstr>2020 Mal_Cases</vt:lpstr>
      <vt:lpstr>2021 Mal_Cases</vt:lpstr>
      <vt:lpstr>2022 Mal_Cases</vt:lpstr>
      <vt:lpstr>2023 Mal_Cases</vt:lpstr>
      <vt:lpstr>2024 Mal_Cases</vt:lpstr>
      <vt:lpstr>2025 Mal_Cases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Gumbo</dc:creator>
  <cp:lastModifiedBy>Doreen Ndovi</cp:lastModifiedBy>
  <dcterms:created xsi:type="dcterms:W3CDTF">2018-01-29T15:21:15Z</dcterms:created>
  <dcterms:modified xsi:type="dcterms:W3CDTF">2026-05-24T02:12:01Z</dcterms:modified>
</cp:coreProperties>
</file>